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Kế hoạch ngày &amp; IELTS" sheetId="2" r:id="rId6"/>
    <sheet state="visible" name="Nhật ký nhiệm vụ" sheetId="3" r:id="rId7"/>
    <sheet state="visible" name="Thông tin lớp học" sheetId="4" r:id="rId8"/>
    <sheet state="visible" name="Lịch học" sheetId="5" r:id="rId9"/>
    <sheet state="visible" name="Lịch tuần" sheetId="6" r:id="rId10"/>
    <sheet state="visible" name="Quản lý giáo trình" sheetId="7" r:id="rId11"/>
    <sheet state="visible" name="Bảng theo dõi bài tập" sheetId="8" r:id="rId12"/>
    <sheet state="visible" name="Lịch bài tập" sheetId="9" r:id="rId13"/>
    <sheet state="visible" name="Danh sách tài liệu đọc" sheetId="10" r:id="rId14"/>
    <sheet state="visible" name="Bảng theo dõi chuyên cần" sheetId="11" r:id="rId15"/>
    <sheet state="visible" name="Habit Tracker" sheetId="12" r:id="rId16"/>
    <sheet state="visible" name="Danh sách việc cần làm" sheetId="13" r:id="rId17"/>
    <sheet state="visible" name="Hoạt động" sheetId="14" r:id="rId18"/>
    <sheet state="visible" name="Hướng dẫn" sheetId="15" r:id="rId19"/>
    <sheet state="visible" name="Dữ liệu" sheetId="16" r:id="rId20"/>
  </sheets>
  <definedNames/>
  <calcPr/>
</workbook>
</file>

<file path=xl/sharedStrings.xml><?xml version="1.0" encoding="utf-8"?>
<sst xmlns="http://schemas.openxmlformats.org/spreadsheetml/2006/main" count="848" uniqueCount="477">
  <si>
    <t>THÔNG TIN LỚP HỌC</t>
  </si>
  <si>
    <t>📋 NHẬT KÝ NHIỆM VỤ HÀNG NGÀY</t>
  </si>
  <si>
    <t>⌂ Về Dashboard</t>
  </si>
  <si>
    <t>TỔNG NHIỆM VỤ</t>
  </si>
  <si>
    <t>Ngày bắt đầu học kỳ</t>
  </si>
  <si>
    <t>← Nhập ngày bắt đầu / kết thúc học kỳ</t>
  </si>
  <si>
    <t>ĐÃ HOÀN THÀNH</t>
  </si>
  <si>
    <t>GPA DỰ KIẾN (HỆ 10)</t>
  </si>
  <si>
    <t>XẾP LOẠI DỰ KIẾN</t>
  </si>
  <si>
    <t>TỶ LỆ HOÀN THÀNH</t>
  </si>
  <si>
    <t>TỔNG THỜI GIAN HỌC</t>
  </si>
  <si>
    <t>Ngày kết thúc học kỳ</t>
  </si>
  <si>
    <t>Độ dài học kỳ (tuần)</t>
  </si>
  <si>
    <t>GPA DỰ KIẾN (HỆ 4)</t>
  </si>
  <si>
    <t>TỔNG TÍN CHỈ</t>
  </si>
  <si>
    <t>Số tuần còn lại</t>
  </si>
  <si>
    <t>Mã Task</t>
  </si>
  <si>
    <t>DANH SÁCH MÔN HỌC</t>
  </si>
  <si>
    <t>Ngày</t>
  </si>
  <si>
    <t>Hoàn thành</t>
  </si>
  <si>
    <t>Bắt đầu</t>
  </si>
  <si>
    <t>Kết thúc</t>
  </si>
  <si>
    <t>Phân loại</t>
  </si>
  <si>
    <t>Kỹ năng IELTS</t>
  </si>
  <si>
    <t>Nhiệm vụ</t>
  </si>
  <si>
    <t>Mức ưu tiên</t>
  </si>
  <si>
    <t>Thời lượng (phút)</t>
  </si>
  <si>
    <t>Ghi chú</t>
  </si>
  <si>
    <t>LỊCH HỌC HÀNG TUẦN</t>
  </si>
  <si>
    <t>Hạn chót</t>
  </si>
  <si>
    <t>Bù cho Task</t>
  </si>
  <si>
    <t>Trạng thái</t>
  </si>
  <si>
    <t>Môn học</t>
  </si>
  <si>
    <t>Mã môn</t>
  </si>
  <si>
    <t>Giảng viên</t>
  </si>
  <si>
    <t>Số tín chỉ</t>
  </si>
  <si>
    <t>Thứ</t>
  </si>
  <si>
    <t>Phòng</t>
  </si>
  <si>
    <t>Hôm nay (tự tính)</t>
  </si>
  <si>
    <t>Tâm lý học</t>
  </si>
  <si>
    <t>PSY101</t>
  </si>
  <si>
    <t>TS. Nguyễn Văn An</t>
  </si>
  <si>
    <t>Toán cao cấp</t>
  </si>
  <si>
    <t>Thứ Hai</t>
  </si>
  <si>
    <t>A101</t>
  </si>
  <si>
    <t>IELTS</t>
  </si>
  <si>
    <t>Listening</t>
  </si>
  <si>
    <t>Luyện nghe Cam 18 Test 1 Section 1 &amp; 2</t>
  </si>
  <si>
    <t>MAT201</t>
  </si>
  <si>
    <t>Cao</t>
  </si>
  <si>
    <t>PGS. Trần Thị Bình</t>
  </si>
  <si>
    <t>B203</t>
  </si>
  <si>
    <t>KẾ HOẠCH NGÀY &amp; LUYỆN THI IELTS</t>
  </si>
  <si>
    <t>Tiếng Anh giao tiếp</t>
  </si>
  <si>
    <t>ENG101</t>
  </si>
  <si>
    <t>Ms. Lê Hoàng</t>
  </si>
  <si>
    <t>Lập trình C++</t>
  </si>
  <si>
    <t>Thứ Ba</t>
  </si>
  <si>
    <t>Lab 2</t>
  </si>
  <si>
    <t>CSE102</t>
  </si>
  <si>
    <t>ThS. Phạm Quốc Dũng</t>
  </si>
  <si>
    <t>HÔM NAY</t>
  </si>
  <si>
    <t>Thứ Tư</t>
  </si>
  <si>
    <t>C105</t>
  </si>
  <si>
    <t>TỔNG BUỔI LUYỆN IELTS</t>
  </si>
  <si>
    <t>Triết học Mác-Lênin</t>
  </si>
  <si>
    <t>BAND ĐIỂM TRUNG BÌNH</t>
  </si>
  <si>
    <t>PHI101</t>
  </si>
  <si>
    <t>TS. Võ Minh Châu</t>
  </si>
  <si>
    <t>MỤC TIÊU IELTS</t>
  </si>
  <si>
    <t>A201</t>
  </si>
  <si>
    <t>Kỹ năng mềm</t>
  </si>
  <si>
    <t>SKL101</t>
  </si>
  <si>
    <t>Cô Đặng Thu Hà</t>
  </si>
  <si>
    <t>Thứ Năm</t>
  </si>
  <si>
    <t>Thứ Sáu</t>
  </si>
  <si>
    <t>D301</t>
  </si>
  <si>
    <t>7.5 Overall</t>
  </si>
  <si>
    <t>Làm thêm</t>
  </si>
  <si>
    <t>Làm 250 dòng Properties</t>
  </si>
  <si>
    <t>Học tập</t>
  </si>
  <si>
    <t>Đi học thêm Ielts</t>
  </si>
  <si>
    <t>4 kỹ năng tích hợp</t>
  </si>
  <si>
    <t>Từ các bài kiểm tra gần nhất</t>
  </si>
  <si>
    <t>Target học kỳ 1</t>
  </si>
  <si>
    <t>Khung giờ</t>
  </si>
  <si>
    <t>Kỹ năng</t>
  </si>
  <si>
    <t>Tài liệu</t>
  </si>
  <si>
    <t>Dạng bài</t>
  </si>
  <si>
    <t>Điểm / Band</t>
  </si>
  <si>
    <t>Phân tích lỗi sai &amp; Ghi chú</t>
  </si>
  <si>
    <t>Cá nhân</t>
  </si>
  <si>
    <t>Đi ăn teambuilding với công ty</t>
  </si>
  <si>
    <t>BẢNG ĐIỂM &amp; DỰ PHÓNG GPA</t>
  </si>
  <si>
    <t>2026-09-28</t>
  </si>
  <si>
    <t>Cambridge IELTS 18 Test 1</t>
  </si>
  <si>
    <t>Section 1 &amp; 2 (Form &amp; Map)</t>
  </si>
  <si>
    <t>Điểm (Hệ 10)</t>
  </si>
  <si>
    <t>Sai 3 câu do lỡ nhịp từ khóa số nhiều; cần lưu ý phát âm nối âm.</t>
  </si>
  <si>
    <t>Điểm (Hệ 4)</t>
  </si>
  <si>
    <t>Xếp loại</t>
  </si>
  <si>
    <t>2026-09-29</t>
  </si>
  <si>
    <t>Reading</t>
  </si>
  <si>
    <t>Passage 2: True/False/Not Given</t>
  </si>
  <si>
    <t>Dễ nhầm lẫn giữa False và Not Given; cần bám sát bằng chứng bài đọc.</t>
  </si>
  <si>
    <t>2026-09-30</t>
  </si>
  <si>
    <t>Writing</t>
  </si>
  <si>
    <t>Makkar IELTS Writing Task 2</t>
  </si>
  <si>
    <t>Opinion Essay: Technology</t>
  </si>
  <si>
    <t>Luận điểm thân bài 2 chưa đào sâu; thiếu từ vựng học thuật collocation.</t>
  </si>
  <si>
    <t>2026-10-01</t>
  </si>
  <si>
    <t>Speaking</t>
  </si>
  <si>
    <t>IELTS Forecast Q3/Q4</t>
  </si>
  <si>
    <t>Part 2: Describe a helpful person</t>
  </si>
  <si>
    <t>Còn ngập ngừng khi triển khai ý mở rộng; cần trau chuốt fluency &amp; coherence.</t>
  </si>
  <si>
    <t>2026-10-02</t>
  </si>
  <si>
    <t>Cambridge IELTS 18 Test 2</t>
  </si>
  <si>
    <t>Section 3: Multiple Choice</t>
  </si>
  <si>
    <t>Nhận diện bẫy thông tin gây nhiễu rất tốt; kỹ năng take note từ khóa hiệu quả.</t>
  </si>
  <si>
    <t>2026-10-03</t>
  </si>
  <si>
    <t>Cambridge IELTS 17 Test 3</t>
  </si>
  <si>
    <t>Task 1: Mixed Chart (Bar &amp; Line)</t>
  </si>
  <si>
    <t>Phần Overview rõ ràng; cần chú ý đa dạng cấu trúc so sánh tăng giảm.</t>
  </si>
  <si>
    <t>Cambridge IELTS 18 Test 3</t>
  </si>
  <si>
    <t>Task 2: Discussion Essay (Education)</t>
  </si>
  <si>
    <t>Ý tưởng mạch lạc; cần tăng cường collocations học thuật để chạm mốc Band 7.5.</t>
  </si>
  <si>
    <t>Part 3: Discussion on Technology &amp; Life</t>
  </si>
  <si>
    <t>Phản xạ câu hỏi khó tốt; chú ý kiểm soát ngữ điệu và phát âm âm cuối.</t>
  </si>
  <si>
    <t>BẢNG PHÂN TÍCH BAND ĐIỂM THEO 4 KỸ NĂNG</t>
  </si>
  <si>
    <t>Band TB</t>
  </si>
  <si>
    <t>Trạng thái &amp; Định hướng</t>
  </si>
  <si>
    <t>📚 STUDENT PLANNER — DASHBOARD</t>
  </si>
  <si>
    <t>Vocabulary</t>
  </si>
  <si>
    <t>Học từ vựng và làm bài tập chủ đề mua sắm</t>
  </si>
  <si>
    <t>Đã hoàn thành 2/8 bài tập</t>
  </si>
  <si>
    <t>MENU</t>
  </si>
  <si>
    <t>Hôm nay</t>
  </si>
  <si>
    <t>Tuần học hiện tại</t>
  </si>
  <si>
    <t>Overall Band</t>
  </si>
  <si>
    <t>ĐIỂM TRUNG BÌNH (GPA)</t>
  </si>
  <si>
    <t>THỐNG KÊ TIẾN ĐỘ TÍCH LŨY (TOÀN THỜI GIAN)</t>
  </si>
  <si>
    <t>TỔNG GIỜ LUYỆN IELTS TÍCH LŨY</t>
  </si>
  <si>
    <t>TỶ LỆ HOÀN THÀNH TÍCH LŨY</t>
  </si>
  <si>
    <t>Làm bài tập 3-8 chủ đề mua sắm</t>
  </si>
  <si>
    <t>Khẩn cấp</t>
  </si>
  <si>
    <t>T05</t>
  </si>
  <si>
    <t>Học từ vựng và làm bài tập chủ đề cửa hàng</t>
  </si>
  <si>
    <t>Theo thời khóa biểu môn học</t>
  </si>
  <si>
    <t>Bài tập cần làm</t>
  </si>
  <si>
    <t>Bài tập quá hạn</t>
  </si>
  <si>
    <t>Việc cần làm còn lại</t>
  </si>
  <si>
    <t>Tỷ lệ chuyên cần</t>
  </si>
  <si>
    <t>Thói quen hôm nay</t>
  </si>
  <si>
    <t>Tiến độ giáo trình</t>
  </si>
  <si>
    <t>Tự động lấy từ tab 'Thông tin lớp học'. Ô đỏ = trùng lịch. Thêm / sửa lớp ở đó.</t>
  </si>
  <si>
    <t>Giờ</t>
  </si>
  <si>
    <t>Thứ Bảy</t>
  </si>
  <si>
    <t>Chủ Nhật</t>
  </si>
  <si>
    <t>T08</t>
  </si>
  <si>
    <t>Ôn tập</t>
  </si>
  <si>
    <t>Ôn từ vừng chủ đề "Vui chơi giải trí" gồm 2 bộ từ vựng</t>
  </si>
  <si>
    <t>Lớp học hôm nay</t>
  </si>
  <si>
    <t>Hạn nộp sắp tới</t>
  </si>
  <si>
    <t>T13</t>
  </si>
  <si>
    <t>Ôn từ vừng chủ đề "Cảm xúc và quan điểm" gồm 2 bộ từ vựng</t>
  </si>
  <si>
    <t>T14</t>
  </si>
  <si>
    <t>T18</t>
  </si>
  <si>
    <t>T19</t>
  </si>
  <si>
    <t>T20</t>
  </si>
  <si>
    <t>LỊCH TUẦN (GIỜ HỌC + HOẠT ĐỘNG)</t>
  </si>
  <si>
    <t>T25</t>
  </si>
  <si>
    <t>🎯 TIẾN ĐỘ NHIỆM VỤ &amp; IELTS HÔM NAY</t>
  </si>
  <si>
    <t>Chọn ngày bất kỳ trong tuần:</t>
  </si>
  <si>
    <t>T26</t>
  </si>
  <si>
    <t>→ Tuần bắt đầu từ:</t>
  </si>
  <si>
    <t>Gõ ngày khác vào D3 để xem tuần khác</t>
  </si>
  <si>
    <t>Nhiệm vụ hôm nay</t>
  </si>
  <si>
    <t>Tiến độ hoàn thành</t>
  </si>
  <si>
    <t>Thời gian kế hoạch</t>
  </si>
  <si>
    <t>Band IELTS trung bình</t>
  </si>
  <si>
    <t>T30</t>
  </si>
  <si>
    <t>⚡ LIÊN KẾT NHANH ĐẾN CÁC TRANG TÍNH</t>
  </si>
  <si>
    <t>📌 NHIỆM VỤ TIÊU BIỂU TRONG NGÀY</t>
  </si>
  <si>
    <t>📋 Nhật ký nhiệm vụ</t>
  </si>
  <si>
    <t>🎯 Kế hoạch &amp; IELTS</t>
  </si>
  <si>
    <t>✅ Việc cần làm</t>
  </si>
  <si>
    <t>📅 Xem Lịch tuần</t>
  </si>
  <si>
    <t>Tổng quan chuyên cần</t>
  </si>
  <si>
    <t>Có mặt ✔</t>
  </si>
  <si>
    <t>Vắng ✘</t>
  </si>
  <si>
    <t>Đi muộn ⏳</t>
  </si>
  <si>
    <t>Tỷ lệ</t>
  </si>
  <si>
    <t>QUẢN LÝ GIÁO TRÌNH</t>
  </si>
  <si>
    <t>TỔNG SỐ CHỦ ĐỀ</t>
  </si>
  <si>
    <t>TIẾN ĐỘ TỔNG THỂ</t>
  </si>
  <si>
    <t>TIẾN ĐỘ THEO TỪNG MÔN HỌC</t>
  </si>
  <si>
    <t>Chương / Chủ đề</t>
  </si>
  <si>
    <t>Tuần dự kiến</t>
  </si>
  <si>
    <t>Số chủ đề</t>
  </si>
  <si>
    <t>Đã học</t>
  </si>
  <si>
    <t>Tiến độ</t>
  </si>
  <si>
    <t>Thanh tiến độ</t>
  </si>
  <si>
    <t>Giới hạn và liên tục</t>
  </si>
  <si>
    <t>Đạo hàm</t>
  </si>
  <si>
    <t>Tích phân</t>
  </si>
  <si>
    <t>Đang học</t>
  </si>
  <si>
    <t>Ôn cho kiểm tra giữa kỳ</t>
  </si>
  <si>
    <t>Biến và kiểu dữ liệu</t>
  </si>
  <si>
    <t>Mảng và con trỏ</t>
  </si>
  <si>
    <t>Lập trình hướng đối tượng</t>
  </si>
  <si>
    <t>Nhận thức và trí nhớ</t>
  </si>
  <si>
    <t>Cảm xúc và động lực</t>
  </si>
  <si>
    <t>Chưa học</t>
  </si>
  <si>
    <t>Vật chất và ý thức</t>
  </si>
  <si>
    <t>Phép biện chứng duy vật</t>
  </si>
  <si>
    <t>Unit 1-3: Introductions</t>
  </si>
  <si>
    <t>Kỹ năng thuyết trình</t>
  </si>
  <si>
    <t>BẢNG THEO DÕI BÀI TẬP</t>
  </si>
  <si>
    <t>Bài tập</t>
  </si>
  <si>
    <t>Đã hoàn thành</t>
  </si>
  <si>
    <t>Cần làm</t>
  </si>
  <si>
    <t>Quá hạn</t>
  </si>
  <si>
    <t>Hạn gấp (≤ 2 ngày)</t>
  </si>
  <si>
    <t>Chọn Trạng thái = 'Hoàn thành' để tính vào tiến độ. Cột 'Thứ tự' dùng cho Dashboard (tự tính).</t>
  </si>
  <si>
    <t>Mô tả</t>
  </si>
  <si>
    <t>Thời lượng</t>
  </si>
  <si>
    <t>Giờ nộp</t>
  </si>
  <si>
    <t>Ngày nộp</t>
  </si>
  <si>
    <t>Còn lại (ngày)</t>
  </si>
  <si>
    <t>Điểm</t>
  </si>
  <si>
    <t>Thứ tự</t>
  </si>
  <si>
    <t>Case Study Report</t>
  </si>
  <si>
    <t>Kiểm tra</t>
  </si>
  <si>
    <t>Well-researched, strong structure</t>
  </si>
  <si>
    <t>A</t>
  </si>
  <si>
    <t>Bài tập về nhà chương 1</t>
  </si>
  <si>
    <t>Làm ra giấy và chụp ảnh nộp</t>
  </si>
  <si>
    <t>Viết đoạn văn giới thiệu bản thân</t>
  </si>
  <si>
    <t>Nộp file Word qua hệ thống</t>
  </si>
  <si>
    <t>B+</t>
  </si>
  <si>
    <t>Code bài tập mảng 1 chiều</t>
  </si>
  <si>
    <t>Dự án</t>
  </si>
  <si>
    <t>Nộp source code và file báo cáo</t>
  </si>
  <si>
    <t>A-</t>
  </si>
  <si>
    <t>Tiểu luận giữa kỳ</t>
  </si>
  <si>
    <t>In ra giấy A4, đóng gáy</t>
  </si>
  <si>
    <t>B</t>
  </si>
  <si>
    <t>Bài tập chương 2</t>
  </si>
  <si>
    <t>Quá hạn - ví dụ</t>
  </si>
  <si>
    <t>Bài tập trắc nghiệm nhận thức</t>
  </si>
  <si>
    <t>Nộp trực tuyến trên cổng học tập</t>
  </si>
  <si>
    <t>Thực hành thuyết trình nhóm</t>
  </si>
  <si>
    <t>Đang làm</t>
  </si>
  <si>
    <t>Đang hoàn thiện slide, nộp trước 17:00 hôm nay</t>
  </si>
  <si>
    <t>Kiểm tra giữa kỳ tích phân</t>
  </si>
  <si>
    <t>Chưa bắt đầu</t>
  </si>
  <si>
    <t>Phòng thi 202, mang máy tính bỏ túi</t>
  </si>
  <si>
    <t>Bài tập viết thư thương mại</t>
  </si>
  <si>
    <t>Gửi file PDF qua email giảng viên</t>
  </si>
  <si>
    <t>Dự án quản lý sinh viên</t>
  </si>
  <si>
    <t>Commit source code lên GitHub</t>
  </si>
  <si>
    <t>Kiểm tra trắc nghiệm chương 2</t>
  </si>
  <si>
    <t>Làm bài trắc nghiệm LMS 45 phút</t>
  </si>
  <si>
    <t>Dự án kế hoạch phát triển cá nhân</t>
  </si>
  <si>
    <t>Trình bày theo format chuẩn</t>
  </si>
  <si>
    <t>LỊCH BÀI TẬP / DEADLINE</t>
  </si>
  <si>
    <t>Năm</t>
  </si>
  <si>
    <t>← Gõ đè năm/tháng để xem tháng khác</t>
  </si>
  <si>
    <t>Tháng (1–12)</t>
  </si>
  <si>
    <t>DANH SÁCH TÀI LIỆU ĐỌC</t>
  </si>
  <si>
    <t>TỔNG SỐ TÀI LIỆU</t>
  </si>
  <si>
    <t>TRANG ĐÃ ĐỌC</t>
  </si>
  <si>
    <t>TỔNG SỐ TRANG</t>
  </si>
  <si>
    <t>Tên tài liệu</t>
  </si>
  <si>
    <t>Tác giả</t>
  </si>
  <si>
    <t>Trang cần đọc</t>
  </si>
  <si>
    <t>Trang hiện tại</t>
  </si>
  <si>
    <t>Tổng số trang</t>
  </si>
  <si>
    <t>Understanding the Mind</t>
  </si>
  <si>
    <t>Dr. Lila Hartman</t>
  </si>
  <si>
    <t>225-260</t>
  </si>
  <si>
    <t>Khái niệm tâm lý học kèm ví dụ thực tế</t>
  </si>
  <si>
    <t>Bài tập Toán cao cấp tập 1</t>
  </si>
  <si>
    <t>Nguyễn Đình Trí</t>
  </si>
  <si>
    <t>15-30</t>
  </si>
  <si>
    <t>Làm các bài tập số chẵn</t>
  </si>
  <si>
    <t>Cambridge English Empower</t>
  </si>
  <si>
    <t>Adrian Doff</t>
  </si>
  <si>
    <t>40-55</t>
  </si>
  <si>
    <t>Nghe kèm file audio</t>
  </si>
  <si>
    <t>C++ How to Program</t>
  </si>
  <si>
    <t>Paul Deitel</t>
  </si>
  <si>
    <t>100-120</t>
  </si>
  <si>
    <t>Đọc kỹ phần hướng đối tượng</t>
  </si>
  <si>
    <t>Hướng dẫn ôn thi Triết học</t>
  </si>
  <si>
    <t>Hội đồng biên soạn</t>
  </si>
  <si>
    <t>50-70</t>
  </si>
  <si>
    <t>Học thuộc các định nghĩa</t>
  </si>
  <si>
    <t>7 Thói Quen Của Bạn Trẻ Thành Đạt</t>
  </si>
  <si>
    <t>Sean Covey</t>
  </si>
  <si>
    <t>1-50</t>
  </si>
  <si>
    <t>Chuẩn bị nội dung thuyết trình</t>
  </si>
  <si>
    <t>BẢNG THEO DÕI CHUYÊN CẦN</t>
  </si>
  <si>
    <t/>
  </si>
  <si>
    <t>Ngày bắt đầu</t>
  </si>
  <si>
    <t>CẢNH BÁO CẤM THI</t>
  </si>
  <si>
    <t>Mỗi cột = 1 buổi. Chọn ✔ (có mặt), ✘ (vắng), ⏳ (đi muộn). Ngày mỗi buổi tự tính theo tuần, có thể gõ đè.</t>
  </si>
  <si>
    <t>Ngày kết thúc</t>
  </si>
  <si>
    <t>Buổi 1</t>
  </si>
  <si>
    <t>Buổi 2</t>
  </si>
  <si>
    <t>Buổi 3</t>
  </si>
  <si>
    <t>Buổi 4</t>
  </si>
  <si>
    <t>Buổi 5</t>
  </si>
  <si>
    <t>Buổi 6</t>
  </si>
  <si>
    <t>Buổi 7</t>
  </si>
  <si>
    <t>Buổi 8</t>
  </si>
  <si>
    <t>Buổi 9</t>
  </si>
  <si>
    <t>Buổi 10</t>
  </si>
  <si>
    <t>Buổi 11</t>
  </si>
  <si>
    <t>Buổi 12</t>
  </si>
  <si>
    <t>Buổi 13</t>
  </si>
  <si>
    <t>Buổi 14</t>
  </si>
  <si>
    <t>Buổi 15</t>
  </si>
  <si>
    <t>Buổi 16</t>
  </si>
  <si>
    <t>Buổi 17</t>
  </si>
  <si>
    <t>Buổi 18</t>
  </si>
  <si>
    <t>Buổi 19</t>
  </si>
  <si>
    <t>Buổi 20</t>
  </si>
  <si>
    <t>Buổi 21</t>
  </si>
  <si>
    <t>Buổi 22</t>
  </si>
  <si>
    <t>Buổi 23</t>
  </si>
  <si>
    <t>Buổi 24</t>
  </si>
  <si>
    <t>Buổi 25</t>
  </si>
  <si>
    <t>Buổi 26</t>
  </si>
  <si>
    <t>Buổi 27</t>
  </si>
  <si>
    <t>Buổi 28</t>
  </si>
  <si>
    <t>Buổi 29</t>
  </si>
  <si>
    <t>Buổi 30</t>
  </si>
  <si>
    <t>Muộn ⏳</t>
  </si>
  <si>
    <t>✔</t>
  </si>
  <si>
    <t>✘</t>
  </si>
  <si>
    <t>⏳</t>
  </si>
  <si>
    <t>TỔNG CỘNG</t>
  </si>
  <si>
    <t>THEO DÕI THÓI QUEN THEO THÁNG</t>
  </si>
  <si>
    <t>DANH SÁCH VIỆC CẦN LÀM</t>
  </si>
  <si>
    <t>Đổi năm/tháng để cập nhật lịch. Bảng tick dùng chung - hãy xoá ✔ hoặc nhân bản tab khi sang tháng mới.</t>
  </si>
  <si>
    <t>Thành quả tháng này</t>
  </si>
  <si>
    <t>Tổng việc</t>
  </si>
  <si>
    <t>Đã xong</t>
  </si>
  <si>
    <t>Còn lại</t>
  </si>
  <si>
    <t>Tỷ lệ xong</t>
  </si>
  <si>
    <t>Cây xanh mỗi ngày (≥80% = 🌵)</t>
  </si>
  <si>
    <t>Chọn ✔ ở cột Xong khi hoàn thành việc.</t>
  </si>
  <si>
    <t>Năng suất trong ngày</t>
  </si>
  <si>
    <t>Xong</t>
  </si>
  <si>
    <t>Việc cần làm</t>
  </si>
  <si>
    <t>Danh mục</t>
  </si>
  <si>
    <t>Ưu tiên</t>
  </si>
  <si>
    <t>Hạn</t>
  </si>
  <si>
    <t>Mua giáo trình Toán cao cấp</t>
  </si>
  <si>
    <t>Nhà sách trường</t>
  </si>
  <si>
    <t>Đăng ký học phần học kỳ sau</t>
  </si>
  <si>
    <t>Cổng đào tạo</t>
  </si>
  <si>
    <t>Gọi điện cho gia đình</t>
  </si>
  <si>
    <t>Gia đình</t>
  </si>
  <si>
    <t>Trung bình</t>
  </si>
  <si>
    <t>Đi khám sức khỏe định kỳ</t>
  </si>
  <si>
    <t>Sức khỏe</t>
  </si>
  <si>
    <t>Thấp</t>
  </si>
  <si>
    <t>Dọn phòng trọ</t>
  </si>
  <si>
    <t>Dọn dẹp phòng vào cuối tuần</t>
  </si>
  <si>
    <t>Nộp đơn học bổng</t>
  </si>
  <si>
    <t>Cần bảng điểm</t>
  </si>
  <si>
    <t>Danh sách thói quen</t>
  </si>
  <si>
    <t>Tổng ngày</t>
  </si>
  <si>
    <t>Chuỗi hiện tại</t>
  </si>
  <si>
    <t>Chuỗi dài nhất</t>
  </si>
  <si>
    <t>[Sức khỏe] Dậy sớm trước 7h sáng</t>
  </si>
  <si>
    <t>[Sức khỏe] Uống đủ 2 lít nước</t>
  </si>
  <si>
    <t>[Sức khỏe] Tập thể dục 30 phút</t>
  </si>
  <si>
    <t>[Sức khỏe] Ngủ đủ 7-8 tiếng</t>
  </si>
  <si>
    <t>[Học tập] Đọc 15 trang sách</t>
  </si>
  <si>
    <t>HOẠT ĐỘNG / SỰ KIỆN CÁ NHÂN</t>
  </si>
  <si>
    <t>Nhập hoạt động theo ngày cụ thể; sẽ hiện trong tab 'Lịch tuần' và được kiểm tra trùng lịch với giờ học.</t>
  </si>
  <si>
    <t>Hoạt động</t>
  </si>
  <si>
    <t>Loại</t>
  </si>
  <si>
    <t>[Học tập] Học từ vựng tiếng Anh 15 phút</t>
  </si>
  <si>
    <t>Tập thể dục buổi sáng</t>
  </si>
  <si>
    <t>Thể thao</t>
  </si>
  <si>
    <t>Họp nhóm (ví dụ trùng lịch với Toán)</t>
  </si>
  <si>
    <t>Ví dụ: sẽ báo ⚠ Trùng lịch</t>
  </si>
  <si>
    <t>Thể dục - Cầu lông</t>
  </si>
  <si>
    <t>Họp CLB tiếng Anh</t>
  </si>
  <si>
    <t>Xã hội</t>
  </si>
  <si>
    <t>Đi siêu thị mua thực phẩm</t>
  </si>
  <si>
    <t>Ôn tập thi giữa kỳ</t>
  </si>
  <si>
    <t>Làm thêm cuối tuần</t>
  </si>
  <si>
    <t>Teambuilding cùng công ty</t>
  </si>
  <si>
    <t>Kiểm tra giữa kỳ Toán cao cấp</t>
  </si>
  <si>
    <t>Phòng 202; trùng lịch Tiếng Anh giao tiếp</t>
  </si>
  <si>
    <t>[Học tập] Ôn lại bài trên lớp</t>
  </si>
  <si>
    <t>[Học tập] Không dùng điện thoại trước khi ngủ</t>
  </si>
  <si>
    <t>[Lối sống] Viết nhật ký &amp; Kế hoạch ngày mới</t>
  </si>
  <si>
    <t>[Lối sống] Thiền / hít thở sâu 10 phút</t>
  </si>
  <si>
    <t>[Lối sống] Ăn đủ 3 bữa / không bỏ bữa</t>
  </si>
  <si>
    <t>[Lối sống] Dọn dẹp bàn học gọn gàng</t>
  </si>
  <si>
    <t>📚 ALL-IN-ONE STUDENT PLANNER</t>
  </si>
  <si>
    <t>CÁCH DÙNG NHANH</t>
  </si>
  <si>
    <t>1</t>
  </si>
  <si>
    <t>Vào tab 'Thông tin lớp học': nhập ngày bắt đầu/kết thúc học kỳ, danh sách môn học và lịch học hàng tuần.</t>
  </si>
  <si>
    <t>2</t>
  </si>
  <si>
    <t>Nhập bài tập/deadline ở 'Bảng theo dõi bài tập', việc cá nhân ở 'Danh sách việc cần làm', hoạt động ở 'Hoạt động', theo dõi nhiệm vụ ở 'Nhật ký nhiệm vụ' và luyện đề ở 'Kế hoạch ngày &amp; IELTS'.</t>
  </si>
  <si>
    <t>3</t>
  </si>
  <si>
    <t>Điểm danh ở 'Bảng theo dõi chuyên cần', tick thói quen ở 'Habit Tracker'.</t>
  </si>
  <si>
    <t>4</t>
  </si>
  <si>
    <t>Mở 'Dashboard' để xem tổng quan: lớp hôm nay, hạn nộp sắp tới, tiến độ nhiệm vụ &amp; IELTS hôm nay, thói quen và chuyên cần.</t>
  </si>
  <si>
    <t>QUY ƯỚC MÀU</t>
  </si>
  <si>
    <t>Chữ xanh dương</t>
  </si>
  <si>
    <t>Ô để bạn NHẬP / SỬA dữ liệu (các dòng có sẵn là ví dụ mẫu - xoá và thay bằng dữ liệu của bạn).</t>
  </si>
  <si>
    <t>Chữ đen</t>
  </si>
  <si>
    <t>Ô công thức tự tính - không nên gõ đè.</t>
  </si>
  <si>
    <t>Ô dropdown</t>
  </si>
  <si>
    <t>Nhấp vào ô để chọn từ danh sách (môn học, trạng thái, ✔ / ✘ / ⏳ ...). ✔ thay cho checkbox.</t>
  </si>
  <si>
    <t>CÁC TAB</t>
  </si>
  <si>
    <t>Dashboard</t>
  </si>
  <si>
    <t>Tổng quan toàn bộ kế hoạch học tập.</t>
  </si>
  <si>
    <t>Thông tin lớp học</t>
  </si>
  <si>
    <t>Cài đặt học kỳ, danh sách môn, lịch học hàng tuần (gốc dữ liệu cho nhiều tab).</t>
  </si>
  <si>
    <t>Lịch học</t>
  </si>
  <si>
    <t>Thời khoá biểu tuần tự động, cảnh báo trùng lịch.</t>
  </si>
  <si>
    <t>Lịch tuần</t>
  </si>
  <si>
    <t>Lịch theo giờ của một tuần bất kỳ: giờ học + hoạt động, cảnh báo ⚠ Trùng lịch.</t>
  </si>
  <si>
    <t>Nhập hoạt động cá nhân theo ngày/giờ (hiện trong Lịch tuần).</t>
  </si>
  <si>
    <t>Bảng theo dõi bài tập</t>
  </si>
  <si>
    <t>Quản lý bài tập, kiểm tra, dự án; còn lại bao nhiêu ngày; điểm; biểu đồ.</t>
  </si>
  <si>
    <t>Lịch bài tập</t>
  </si>
  <si>
    <t>Lịch tháng hiển thị deadline từ bảng bài tập.</t>
  </si>
  <si>
    <t>Danh sách việc cần làm</t>
  </si>
  <si>
    <t>To-do cá nhân với ưu tiên và hạn.</t>
  </si>
  <si>
    <t>Ghi chép và theo dõi chi tiết nhiệm vụ học tập theo khung giờ và ngày, tự tính tiến độ.</t>
  </si>
  <si>
    <t>Kế hoạch nhiệm vụ hàng ngày và sổ tay theo dõi 4 kỹ năng IELTS, phân tích lỗi sai và band điểm.</t>
  </si>
  <si>
    <t>Bảng theo dõi chuyên cần</t>
  </si>
  <si>
    <t>Điểm danh theo buổi, tự tính tỷ lệ chuyên cần (cảnh báo dưới 80%).</t>
  </si>
  <si>
    <t>Danh sách tài liệu đọc</t>
  </si>
  <si>
    <t>Theo dõi tiến độ đọc sách/tài liệu.</t>
  </si>
  <si>
    <t>Habit Tracker</t>
  </si>
  <si>
    <t>Theo dõi thói quen theo tháng, chuỗi ngày, năng suất mỗi ngày.</t>
  </si>
  <si>
    <t>Quản lý giáo trình</t>
  </si>
  <si>
    <t>Chia nhỏ chương/chủ đề từng môn và theo dõi tiến độ học.</t>
  </si>
  <si>
    <t>Dữ liệu</t>
  </si>
  <si>
    <t>Dữ liệu trung gian cho biểu đồ (tự tính).</t>
  </si>
  <si>
    <t>LƯU Ý</t>
  </si>
  <si>
    <t>• Dùng trong Excel hoặc tải lên Google Drive → Mở bằng Google Trang tính (công thức, dropdown, biểu đồ đều hoạt động).</t>
  </si>
  <si>
    <t>• Các ô 'Hôm nay', 'Còn lại', 'Quá hạn' dùng hàm TODAY() nên tự cập nhật theo ngày.</t>
  </si>
  <si>
    <t>• Habit Tracker dùng một bảng tick chung: sang tháng mới hãy xoá ✔ cũ hoặc nhân bản tab trước khi đổi tháng.</t>
  </si>
  <si>
    <t>• Dòng ví dụ 'Họp nhóm' trong tab Hoạt động cố ý trùng giờ học Toán để minh hoạ cảnh báo trùng lịch.</t>
  </si>
  <si>
    <t>DỮ LIỆU BIỂU ĐỒ (tự tính - không cần chỉnh sửa)</t>
  </si>
  <si>
    <t>Mốc thời gian</t>
  </si>
  <si>
    <t>Bài tập theo môn</t>
  </si>
  <si>
    <t>Phân loại / Kỹ năng</t>
  </si>
  <si>
    <t>Tiến độ bài tập</t>
  </si>
  <si>
    <t>Phân loại bài tập</t>
  </si>
  <si>
    <t>B-</t>
  </si>
  <si>
    <t>IELTS - Từ vựng</t>
  </si>
  <si>
    <t>Luyện đọc IELTS Passage Cam</t>
  </si>
  <si>
    <t>C+</t>
  </si>
  <si>
    <t>IELTS - Viết</t>
  </si>
  <si>
    <t>Luyện viết IELTS Writing Task 1 &amp; 2</t>
  </si>
  <si>
    <t>C</t>
  </si>
  <si>
    <t>IELTS - Nghe</t>
  </si>
  <si>
    <t>Luyện nói IELTS Speaking theo chủ đề</t>
  </si>
  <si>
    <t>Bình thường</t>
  </si>
  <si>
    <t>D</t>
  </si>
  <si>
    <t>IELTS - Nói</t>
  </si>
  <si>
    <t>Ôn thi &amp; giải bài tập môn học</t>
  </si>
  <si>
    <t>F</t>
  </si>
  <si>
    <t>IELTS - Đọc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</si>
</sst>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0.0%"/>
    <numFmt numFmtId="166" formatCode="#,##0&quot; phút&quot;"/>
    <numFmt numFmtId="167" formatCode="yyyy-mm-dd"/>
    <numFmt numFmtId="168" formatCode="hh:mm"/>
    <numFmt numFmtId="169" formatCode="#,##0&quot; buổi&quot;"/>
    <numFmt numFmtId="170" formatCode="0.0"/>
    <numFmt numFmtId="171" formatCode="0.0&quot; giờ&quot;"/>
    <numFmt numFmtId="172" formatCode="d"/>
    <numFmt numFmtId="173" formatCode="#,##0&quot; trang&quot;"/>
    <numFmt numFmtId="174" formatCode="dd/mm"/>
  </numFmts>
  <fonts count="102">
    <font>
      <sz val="11.0"/>
      <color theme="1"/>
      <name val="Calibri"/>
      <scheme val="minor"/>
    </font>
    <font>
      <b/>
      <sz val="13.0"/>
      <color rgb="FFFFFFFF"/>
      <name val="Google Sans"/>
    </font>
    <font>
      <b/>
      <sz val="14.0"/>
      <color rgb="FFFFFFFF"/>
      <name val="Google Sans"/>
    </font>
    <font/>
    <font>
      <b/>
      <u/>
      <sz val="11.0"/>
      <color rgb="FFFFFFFF"/>
      <name val="Google Sans"/>
    </font>
    <font>
      <b/>
      <sz val="10.0"/>
      <color rgb="FFFFFFFF"/>
      <name val="Google Sans"/>
    </font>
    <font>
      <b/>
      <sz val="11.0"/>
      <color rgb="FFFFFFFF"/>
      <name val="Google Sans"/>
    </font>
    <font>
      <color theme="1"/>
      <name val="Google Sans"/>
    </font>
    <font>
      <b/>
      <sz val="10.0"/>
      <color rgb="FFFF00FF"/>
      <name val="Google Sans"/>
    </font>
    <font>
      <color theme="1"/>
      <name val="Calibri"/>
      <scheme val="minor"/>
    </font>
    <font>
      <b/>
      <color rgb="FF1E40AE"/>
      <name val="Calibri"/>
      <scheme val="minor"/>
    </font>
    <font>
      <b/>
      <sz val="9.0"/>
      <color rgb="FF1D40AD"/>
      <name val="Google Sans"/>
    </font>
    <font>
      <sz val="10.0"/>
      <color rgb="FF0000FF"/>
      <name val="Google Sans"/>
    </font>
    <font>
      <i/>
      <sz val="9.0"/>
      <color rgb="FF7F7F7F"/>
      <name val="Google Sans"/>
    </font>
    <font>
      <b/>
      <sz val="9.0"/>
      <color rgb="FF194C7F"/>
      <name val="Google Sans"/>
    </font>
    <font>
      <b/>
      <sz val="16.0"/>
      <color rgb="FF1966CC"/>
      <name val="Google Sans"/>
    </font>
    <font>
      <b/>
      <sz val="15.0"/>
      <color rgb="FF1D3889"/>
      <name val="Google Sans"/>
    </font>
    <font>
      <b/>
      <sz val="13.0"/>
      <color rgb="FF1966CC"/>
      <name val="Google Sans"/>
    </font>
    <font>
      <sz val="10.0"/>
      <color rgb="FF000000"/>
      <name val="Google Sans"/>
    </font>
    <font>
      <b/>
      <sz val="11.0"/>
      <color rgb="FFFFFFFF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Google Sans"/>
    </font>
    <font>
      <sz val="10.0"/>
      <color rgb="FF7F7F7F"/>
      <name val="Google Sans"/>
    </font>
    <font>
      <b/>
      <u/>
      <sz val="11.0"/>
      <color rgb="FFFFFFFF"/>
      <name val="Google Sans"/>
    </font>
    <font>
      <b/>
      <sz val="10.0"/>
      <color rgb="FF1D40AD"/>
      <name val="Google Sans"/>
    </font>
    <font>
      <i/>
      <sz val="9.0"/>
      <color rgb="FF666666"/>
      <name val="Google Sans"/>
    </font>
    <font>
      <sz val="9.0"/>
      <color rgb="FF666666"/>
      <name val="Google Sans"/>
    </font>
    <font>
      <b/>
      <sz val="10.0"/>
      <color rgb="FF1D293A"/>
      <name val="Google Sans"/>
    </font>
    <font>
      <b/>
      <sz val="10.0"/>
      <color theme="1"/>
      <name val="Google Sans"/>
    </font>
    <font>
      <b/>
      <sz val="16.0"/>
      <color rgb="FFFFFFFF"/>
      <name val="Calibri"/>
      <scheme val="minor"/>
    </font>
    <font>
      <b/>
      <sz val="9.0"/>
      <color rgb="FF1E40AE"/>
      <name val="Calibri"/>
    </font>
    <font>
      <b/>
      <sz val="10.0"/>
      <color rgb="FF1E3989"/>
      <name val="Calibri"/>
      <scheme val="minor"/>
    </font>
    <font>
      <b/>
      <sz val="10.0"/>
      <color rgb="FF1460BC"/>
      <name val="Google Sans"/>
    </font>
    <font>
      <b/>
      <sz val="9.0"/>
      <color rgb="FF4338C9"/>
      <name val="Calibri"/>
      <scheme val="minor"/>
    </font>
    <font>
      <b/>
      <sz val="9.0"/>
      <color rgb="FF991B1B"/>
      <name val="Calibri"/>
      <scheme val="minor"/>
    </font>
    <font>
      <b/>
      <sz val="9.0"/>
      <color rgb="FF065F46"/>
      <name val="Calibri"/>
      <scheme val="minor"/>
    </font>
    <font>
      <b/>
      <sz val="9.0"/>
      <color rgb="FF4338C9"/>
      <name val="Calibri"/>
    </font>
    <font>
      <b/>
      <sz val="16.0"/>
      <color rgb="FF1E40AE"/>
      <name val="Calibri"/>
      <scheme val="minor"/>
    </font>
    <font>
      <b/>
      <sz val="16.0"/>
      <color rgb="FFDC2525"/>
      <name val="Calibri"/>
      <scheme val="minor"/>
    </font>
    <font>
      <b/>
      <sz val="16.0"/>
      <color rgb="FF059569"/>
      <name val="Calibri"/>
      <scheme val="minor"/>
    </font>
    <font>
      <b/>
      <sz val="16.0"/>
      <color rgb="FF6246F0"/>
      <name val="Calibri"/>
      <scheme val="minor"/>
    </font>
    <font>
      <b/>
      <sz val="16.0"/>
      <color rgb="FF059569"/>
      <name val="Calibri"/>
    </font>
    <font>
      <b/>
      <u/>
      <sz val="10.0"/>
      <color rgb="FFFFFFFF"/>
      <name val="Google Sans"/>
    </font>
    <font>
      <u/>
      <sz val="10.0"/>
      <color rgb="FF0563C1"/>
      <name val="Google Sans"/>
    </font>
    <font>
      <i/>
      <color rgb="FF1E3989"/>
      <name val="Calibri"/>
      <scheme val="minor"/>
    </font>
    <font>
      <b/>
      <sz val="9.0"/>
      <color rgb="FFDC2525"/>
      <name val="Google Sans"/>
    </font>
    <font>
      <b/>
      <color rgb="FF465469"/>
      <name val="Calibri"/>
      <scheme val="minor"/>
    </font>
    <font>
      <sz val="9.0"/>
      <color rgb="FF000000"/>
      <name val="Google Sans"/>
    </font>
    <font>
      <b/>
      <sz val="11.0"/>
      <color rgb="FFFFFFFF"/>
      <name val="Calibri"/>
    </font>
    <font>
      <b/>
      <sz val="10.0"/>
      <color rgb="FF000000"/>
      <name val="Google Sans"/>
    </font>
    <font>
      <b/>
      <sz val="9.0"/>
      <color rgb="FF1A227D"/>
      <name val="Google Sans"/>
    </font>
    <font>
      <b/>
      <sz val="9.0"/>
      <color rgb="FF1A5D1F"/>
      <name val="Google Sans"/>
    </font>
    <font>
      <b/>
      <sz val="9.0"/>
      <color rgb="FFB78103"/>
      <name val="Google Sans"/>
    </font>
    <font>
      <b/>
      <sz val="9.0"/>
      <color rgb="FF49138B"/>
      <name val="Google Sans"/>
    </font>
    <font>
      <b/>
      <sz val="14.0"/>
      <color rgb="FF1D3889"/>
      <name val="Google Sans"/>
    </font>
    <font>
      <b/>
      <sz val="14.0"/>
      <color rgb="FF2D7C31"/>
      <name val="Google Sans"/>
    </font>
    <font>
      <b/>
      <sz val="14.0"/>
      <color rgb="FFD97706"/>
      <name val="Google Sans"/>
    </font>
    <font>
      <b/>
      <sz val="14.0"/>
      <color rgb="FF6A21A8"/>
      <name val="Google Sans"/>
    </font>
    <font>
      <i/>
      <sz val="9.0"/>
      <color rgb="FF4C5966"/>
      <name val="Calibri"/>
    </font>
    <font>
      <b/>
      <sz val="9.0"/>
      <color rgb="FF1D3889"/>
      <name val="Google Sans"/>
    </font>
    <font>
      <b/>
      <sz val="9.0"/>
      <color rgb="FF263347"/>
      <name val="Google Sans"/>
    </font>
    <font>
      <b/>
      <u/>
      <sz val="9.0"/>
      <color rgb="FF1E40AE"/>
      <name val="Calibri"/>
    </font>
    <font>
      <sz val="9.0"/>
      <color rgb="FF1E2838"/>
      <name val="Calibri"/>
    </font>
    <font>
      <b/>
      <sz val="9.0"/>
      <color rgb="FF000000"/>
      <name val="Google Sans"/>
    </font>
    <font>
      <b/>
      <sz val="14.0"/>
      <color rgb="FF000000"/>
      <name val="Google Sans"/>
    </font>
    <font>
      <sz val="9.0"/>
      <color theme="1"/>
      <name val="Google Sans"/>
    </font>
    <font>
      <b/>
      <sz val="9.0"/>
      <color rgb="FF2D3748"/>
      <name val="Google Sans"/>
    </font>
    <font>
      <b/>
      <sz val="14.0"/>
      <color rgb="FFFFFFFF"/>
      <name val="Calibri"/>
      <scheme val="minor"/>
    </font>
    <font>
      <b/>
      <u/>
      <sz val="11.0"/>
      <color rgb="FFFFFFFF"/>
      <name val="Google Sans"/>
    </font>
    <font>
      <b/>
      <sz val="11.0"/>
      <color rgb="FF1D40AD"/>
      <name val="Google Sans"/>
    </font>
    <font>
      <b/>
      <sz val="10.0"/>
      <color rgb="FF1E40AE"/>
      <name val="Calibri"/>
      <scheme val="minor"/>
    </font>
    <font>
      <b/>
      <sz val="10.0"/>
      <color rgb="FF1E40AE"/>
      <name val="Calibri"/>
    </font>
    <font>
      <b/>
      <sz val="16.0"/>
      <color rgb="FF1E3989"/>
      <name val="Calibri"/>
      <scheme val="minor"/>
    </font>
    <font>
      <sz val="10.0"/>
      <color rgb="FF0000FF"/>
      <name val="Arial"/>
    </font>
    <font>
      <sz val="10.0"/>
      <color rgb="FF000000"/>
      <name val="Arial"/>
    </font>
    <font>
      <b/>
      <sz val="16.0"/>
      <color rgb="FF1E3989"/>
      <name val="Calibri"/>
    </font>
    <font>
      <sz val="10.0"/>
      <color rgb="FF7F7F7F"/>
      <name val="Arial"/>
    </font>
    <font>
      <b/>
      <u/>
      <sz val="11.0"/>
      <color rgb="FFFFFFFF"/>
      <name val="Google Sans"/>
    </font>
    <font>
      <b/>
      <sz val="12.0"/>
      <color rgb="FFFFFFFF"/>
      <name val="Calibri"/>
      <scheme val="minor"/>
    </font>
    <font>
      <b/>
      <u/>
      <sz val="11.0"/>
      <color rgb="FFFFFFFF"/>
      <name val="Google Sans"/>
    </font>
    <font>
      <b/>
      <u/>
      <sz val="11.0"/>
      <color rgb="FFFFFFFF"/>
      <name val="Google Sans"/>
    </font>
    <font>
      <b/>
      <sz val="9.0"/>
      <color theme="1"/>
      <name val="Calibri"/>
    </font>
    <font>
      <b/>
      <sz val="9.0"/>
      <color rgb="FFFFFFFF"/>
      <name val="Calibri"/>
      <scheme val="minor"/>
    </font>
    <font>
      <b/>
      <sz val="8.0"/>
      <color rgb="FF000000"/>
      <name val="Google Sans"/>
    </font>
    <font>
      <b/>
      <u/>
      <sz val="11.0"/>
      <color rgb="FFFFFFFF"/>
      <name val="Google Sans"/>
    </font>
    <font>
      <b/>
      <sz val="13.0"/>
      <color theme="1"/>
      <name val="Google Sans"/>
    </font>
    <font>
      <b/>
      <sz val="10.0"/>
      <color rgb="FF1E40AE"/>
      <name val="Google Sans"/>
    </font>
    <font>
      <b/>
      <sz val="22.0"/>
      <color rgb="FF000000"/>
      <name val="Google Sans"/>
    </font>
    <font>
      <b/>
      <color rgb="FF065F46"/>
      <name val="Calibri"/>
      <scheme val="minor"/>
    </font>
    <font>
      <b/>
      <sz val="16.0"/>
      <color rgb="FF1E3989"/>
      <name val="Google Sans"/>
    </font>
    <font>
      <b/>
      <color rgb="FF1E293A"/>
      <name val="Calibri"/>
      <scheme val="minor"/>
    </font>
    <font>
      <sz val="11.0"/>
      <color theme="1"/>
      <name val="Google Sans"/>
    </font>
    <font>
      <b/>
      <sz val="8.0"/>
      <color rgb="FFFFFFFF"/>
      <name val="Calibri"/>
      <scheme val="minor"/>
    </font>
    <font>
      <sz val="11.0"/>
      <color theme="1"/>
      <name val="Arial"/>
    </font>
    <font>
      <b/>
      <u/>
      <sz val="11.0"/>
      <color rgb="FFFFFFFF"/>
      <name val="Google Sans"/>
    </font>
    <font>
      <b/>
      <sz val="11.0"/>
      <color rgb="FF1E40AE"/>
      <name val="Calibri"/>
      <scheme val="minor"/>
    </font>
    <font>
      <b/>
      <color rgb="FF2462EB"/>
      <name val="Calibri"/>
      <scheme val="minor"/>
    </font>
    <font>
      <b/>
      <u/>
      <color rgb="FF0F162A"/>
    </font>
    <font>
      <b/>
      <sz val="11.0"/>
      <color rgb="FF0F162A"/>
      <name val="Calibri"/>
    </font>
    <font>
      <b/>
      <sz val="11.0"/>
      <color rgb="FF92400E"/>
      <name val="Calibri"/>
      <scheme val="minor"/>
    </font>
    <font>
      <color rgb="FF78350F"/>
      <name val="Calibri"/>
      <scheme val="minor"/>
    </font>
    <font>
      <b/>
      <sz val="12.0"/>
      <color rgb="FFFFFFFF"/>
      <name val="Google Sans"/>
    </font>
  </fonts>
  <fills count="37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1D293A"/>
        <bgColor rgb="FF1D293A"/>
      </patternFill>
    </fill>
    <fill>
      <patternFill patternType="solid">
        <fgColor rgb="FFEDF1FF"/>
        <bgColor rgb="FFEDF1FF"/>
      </patternFill>
    </fill>
    <fill>
      <patternFill patternType="solid">
        <fgColor rgb="FFECF1FF"/>
        <bgColor rgb="FFECF1FF"/>
      </patternFill>
    </fill>
    <fill>
      <patternFill patternType="solid">
        <fgColor rgb="FFE0EAF2"/>
        <bgColor rgb="FFE0EAF2"/>
      </patternFill>
    </fill>
    <fill>
      <patternFill patternType="solid">
        <fgColor rgb="FFEFF4F9"/>
        <bgColor rgb="FFEFF4F9"/>
      </patternFill>
    </fill>
    <fill>
      <patternFill patternType="solid">
        <fgColor rgb="FFFFFFFF"/>
        <bgColor rgb="FFFFFFFF"/>
      </patternFill>
    </fill>
    <fill>
      <patternFill patternType="solid">
        <fgColor rgb="FF3A82F6"/>
        <bgColor rgb="FF3A82F6"/>
      </patternFill>
    </fill>
    <fill>
      <patternFill patternType="solid">
        <fgColor rgb="FF1E293A"/>
        <bgColor rgb="FF1E293A"/>
      </patternFill>
    </fill>
    <fill>
      <patternFill patternType="solid">
        <fgColor rgb="FF1D3889"/>
        <bgColor rgb="FF1D3889"/>
      </patternFill>
    </fill>
    <fill>
      <patternFill patternType="solid">
        <fgColor rgb="FF3982F6"/>
        <bgColor rgb="FF3982F6"/>
      </patternFill>
    </fill>
    <fill>
      <patternFill patternType="solid">
        <fgColor rgb="FF1E2939"/>
        <bgColor rgb="FF1E2939"/>
      </patternFill>
    </fill>
    <fill>
      <patternFill patternType="solid">
        <fgColor rgb="FFEFF3F9"/>
        <bgColor rgb="FFEFF3F9"/>
      </patternFill>
    </fill>
    <fill>
      <patternFill patternType="solid">
        <fgColor rgb="FFF8F9FB"/>
        <bgColor rgb="FFF8F9FB"/>
      </patternFill>
    </fill>
    <fill>
      <patternFill patternType="solid">
        <fgColor rgb="FFEEF6FF"/>
        <bgColor rgb="FFEEF6FF"/>
      </patternFill>
    </fill>
    <fill>
      <patternFill patternType="solid">
        <fgColor rgb="FFF0F3F4"/>
        <bgColor rgb="FFF0F3F4"/>
      </patternFill>
    </fill>
    <fill>
      <patternFill patternType="solid">
        <fgColor rgb="FFEDF4FC"/>
        <bgColor rgb="FFEDF4FC"/>
      </patternFill>
    </fill>
    <fill>
      <patternFill patternType="solid">
        <fgColor rgb="FFFDE1E1"/>
        <bgColor rgb="FFFDE1E1"/>
      </patternFill>
    </fill>
    <fill>
      <patternFill patternType="solid">
        <fgColor rgb="FFEBFCF5"/>
        <bgColor rgb="FFEBFCF5"/>
      </patternFill>
    </fill>
    <fill>
      <patternFill patternType="solid">
        <fgColor rgb="FFFDF2F2"/>
        <bgColor rgb="FFFDF2F2"/>
      </patternFill>
    </fill>
    <fill>
      <patternFill patternType="solid">
        <fgColor rgb="FFF0F5F8"/>
        <bgColor rgb="FFF0F5F8"/>
      </patternFill>
    </fill>
    <fill>
      <patternFill patternType="solid">
        <fgColor rgb="FFE7E9F5"/>
        <bgColor rgb="FFE7E9F5"/>
      </patternFill>
    </fill>
    <fill>
      <patternFill patternType="solid">
        <fgColor rgb="FFCBEBDD"/>
        <bgColor rgb="FFCBEBDD"/>
      </patternFill>
    </fill>
    <fill>
      <patternFill patternType="solid">
        <fgColor rgb="FFFFF2BF"/>
        <bgColor rgb="FFFFF2BF"/>
      </patternFill>
    </fill>
    <fill>
      <patternFill patternType="solid">
        <fgColor rgb="FFDCCBEF"/>
        <bgColor rgb="FFDCCBEF"/>
      </patternFill>
    </fill>
    <fill>
      <patternFill patternType="solid">
        <fgColor rgb="FFF9FBFC"/>
        <bgColor rgb="FFF9FBFC"/>
      </patternFill>
    </fill>
    <fill>
      <patternFill patternType="solid">
        <fgColor rgb="FFE8EDF4"/>
        <bgColor rgb="FFE8EDF4"/>
      </patternFill>
    </fill>
    <fill>
      <patternFill patternType="solid">
        <fgColor rgb="FFEDEFF4"/>
        <bgColor rgb="FFEDEFF4"/>
      </patternFill>
    </fill>
    <fill>
      <patternFill patternType="solid">
        <fgColor rgb="FFF8C8D0"/>
        <bgColor rgb="FFF8C8D0"/>
      </patternFill>
    </fill>
    <fill>
      <patternFill patternType="solid">
        <fgColor rgb="FFF3F3F3"/>
        <bgColor rgb="FFF3F3F3"/>
      </patternFill>
    </fill>
    <fill>
      <patternFill patternType="solid">
        <fgColor rgb="FF334154"/>
        <bgColor rgb="FF334154"/>
      </patternFill>
    </fill>
    <fill>
      <patternFill patternType="solid">
        <fgColor rgb="FFF0F5F9"/>
        <bgColor rgb="FFF0F5F9"/>
      </patternFill>
    </fill>
    <fill>
      <patternFill patternType="solid">
        <fgColor rgb="FFFDF3C6"/>
        <bgColor rgb="FFFDF3C6"/>
      </patternFill>
    </fill>
    <fill>
      <patternFill patternType="solid">
        <fgColor rgb="FFFFFAEB"/>
        <bgColor rgb="FFFFFAEB"/>
      </patternFill>
    </fill>
    <fill>
      <patternFill patternType="solid">
        <fgColor rgb="FFEDF2FC"/>
        <bgColor rgb="FFEDF2FC"/>
      </patternFill>
    </fill>
  </fills>
  <borders count="45">
    <border/>
    <border>
      <left/>
      <top/>
      <bottom/>
    </border>
    <border>
      <top/>
      <bottom/>
    </border>
    <border>
      <left style="thin">
        <color rgb="FFD5D5D5"/>
      </left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top style="thin">
        <color rgb="FFD5D5D5"/>
      </top>
      <bottom style="thin">
        <color rgb="FFD5D5D5"/>
      </bottom>
    </border>
    <border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2E8EF"/>
      </left>
      <right style="thin">
        <color rgb="FFE2E8EF"/>
      </right>
      <top style="thin">
        <color rgb="FFE2E8EF"/>
      </top>
      <bottom style="thin">
        <color rgb="FFE2E8EF"/>
      </bottom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 style="thin">
        <color rgb="FFE2E8EF"/>
      </left>
      <top style="thin">
        <color rgb="FFE2E8EF"/>
      </top>
      <bottom style="thin">
        <color rgb="FFE2E8EF"/>
      </bottom>
    </border>
    <border>
      <top style="thin">
        <color rgb="FFE2E8EF"/>
      </top>
      <bottom style="thin">
        <color rgb="FFE2E8EF"/>
      </bottom>
    </border>
    <border>
      <right style="thin">
        <color rgb="FFE2E8EF"/>
      </right>
      <top style="thin">
        <color rgb="FFE2E8EF"/>
      </top>
      <bottom style="thin">
        <color rgb="FFE2E8E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medium">
        <color rgb="FF1E2939"/>
      </top>
      <bottom style="medium">
        <color rgb="FF1E2939"/>
      </bottom>
    </border>
    <border>
      <left style="thin">
        <color rgb="FFBED1DF"/>
      </left>
      <top style="thin">
        <color rgb="FFBED1DF"/>
      </top>
      <bottom style="thin">
        <color rgb="FFBED1DF"/>
      </bottom>
    </border>
    <border>
      <top style="thin">
        <color rgb="FFBED1DF"/>
      </top>
      <bottom style="thin">
        <color rgb="FFBED1DF"/>
      </bottom>
    </border>
    <border>
      <right style="thin">
        <color rgb="FFBED1DF"/>
      </right>
      <top style="thin">
        <color rgb="FFBED1DF"/>
      </top>
      <bottom style="thin">
        <color rgb="FFBED1DF"/>
      </bottom>
    </border>
    <border>
      <left style="thin">
        <color rgb="FFD5D5D5"/>
      </left>
      <top style="thin">
        <color rgb="FFD5D5D5"/>
      </top>
    </border>
    <border>
      <right style="thin">
        <color rgb="FFD5D5D5"/>
      </right>
      <top style="thin">
        <color rgb="FFD5D5D5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5D5D5"/>
      </left>
      <bottom style="thin">
        <color rgb="FFD5D5D5"/>
      </bottom>
    </border>
    <border>
      <bottom style="thin">
        <color rgb="FFD5D5D5"/>
      </bottom>
    </border>
    <border>
      <right style="thin">
        <color rgb="FFD5D5D5"/>
      </right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</border>
    <border>
      <left style="thin">
        <color rgb="FFD5D5D5"/>
      </left>
      <right style="thin">
        <color rgb="FFD5D5D5"/>
      </right>
      <bottom style="thin">
        <color rgb="FFD5D5D5"/>
      </bottom>
    </border>
    <border>
      <left>
        <color rgb="FFD5D5D5"/>
      </left>
      <bottom>
        <color rgb="FFD5D5D5"/>
      </bottom>
    </border>
    <border>
      <bottom>
        <color rgb="FFD5D5D5"/>
      </bottom>
    </border>
    <border>
      <top>
        <color rgb="FFD5D5D5"/>
      </top>
      <bottom>
        <color rgb="FFD5D5D5"/>
      </bottom>
    </border>
    <border>
      <right>
        <color rgb="FFD5D5D5"/>
      </right>
      <top>
        <color rgb="FFD5D5D5"/>
      </top>
      <bottom>
        <color rgb="FFD5D5D5"/>
      </bottom>
    </border>
    <border>
      <top style="thin">
        <color rgb="FFD5D5D5"/>
      </top>
    </border>
    <border>
      <left>
        <color rgb="FFD5D5D5"/>
      </left>
      <right>
        <color rgb="FFD5D5D5"/>
      </right>
      <top>
        <color rgb="FFD5D5D5"/>
      </top>
      <bottom>
        <color rgb="FFD5D5D5"/>
      </bottom>
    </border>
    <border>
      <right/>
      <top/>
      <bottom/>
    </border>
    <border>
      <left style="thin">
        <color rgb="FFCCCCCC"/>
      </left>
      <right style="thin">
        <color rgb="FFE5E5E5"/>
      </right>
      <top style="thin">
        <color rgb="FFCCCCCC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CCCCCC"/>
      </top>
      <bottom style="thin">
        <color rgb="FFE5E5E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CCCCCC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0" fillId="2" fontId="4" numFmtId="0" xfId="0" applyAlignment="1" applyFill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0" fillId="2" fontId="6" numFmtId="0" xfId="0" applyAlignment="1" applyFill="1" applyFont="1">
      <alignment horizontal="center" shrinkToFit="0" vertical="center" wrapText="0"/>
    </xf>
    <xf borderId="0" fillId="0" fontId="7" numFmtId="0" xfId="0" applyFont="1"/>
    <xf borderId="0" fillId="3" fontId="8" numFmtId="0" xfId="0" applyAlignment="1" applyFill="1" applyFont="1">
      <alignment horizontal="center" vertical="center"/>
    </xf>
    <xf borderId="0" fillId="3" fontId="5" numFmtId="0" xfId="0" applyAlignment="1" applyFill="1" applyFont="1">
      <alignment horizontal="left" vertical="center"/>
    </xf>
    <xf borderId="0" fillId="3" fontId="5" numFmtId="0" xfId="0" applyAlignment="1" applyFill="1" applyFont="1">
      <alignment horizontal="right" vertical="center"/>
    </xf>
    <xf borderId="0" fillId="3" fontId="9" numFmtId="0" xfId="0" applyFill="1" applyFont="1"/>
    <xf borderId="0" fillId="4" fontId="10" numFmtId="0" xfId="0" applyAlignment="1" applyFill="1" applyFont="1">
      <alignment shrinkToFit="0" vertical="center" wrapText="0"/>
    </xf>
    <xf borderId="3" fillId="5" fontId="11" numFmtId="0" xfId="0" applyAlignment="1" applyBorder="1" applyFill="1" applyFont="1">
      <alignment horizontal="center" vertical="center"/>
    </xf>
    <xf borderId="4" fillId="0" fontId="12" numFmtId="164" xfId="0" applyAlignment="1" applyBorder="1" applyFont="1" applyNumberFormat="1">
      <alignment shrinkToFit="0" vertical="center" wrapText="0"/>
    </xf>
    <xf borderId="5" fillId="0" fontId="3" numFmtId="0" xfId="0" applyBorder="1" applyFont="1"/>
    <xf borderId="6" fillId="0" fontId="3" numFmtId="0" xfId="0" applyBorder="1" applyFont="1"/>
    <xf borderId="0" fillId="0" fontId="13" numFmtId="0" xfId="0" applyAlignment="1" applyFont="1">
      <alignment shrinkToFit="0" vertical="bottom" wrapText="0"/>
    </xf>
    <xf borderId="4" fillId="6" fontId="14" numFmtId="0" xfId="0" applyAlignment="1" applyBorder="1" applyFill="1" applyFont="1">
      <alignment horizontal="center" shrinkToFit="0" vertical="center" wrapText="1"/>
    </xf>
    <xf borderId="4" fillId="7" fontId="15" numFmtId="0" xfId="0" applyAlignment="1" applyBorder="1" applyFill="1" applyFont="1">
      <alignment horizontal="center" vertical="center"/>
    </xf>
    <xf borderId="3" fillId="8" fontId="16" numFmtId="3" xfId="0" applyAlignment="1" applyBorder="1" applyFill="1" applyFont="1" applyNumberFormat="1">
      <alignment horizontal="center" vertical="center"/>
    </xf>
    <xf borderId="4" fillId="7" fontId="17" numFmtId="0" xfId="0" applyAlignment="1" applyBorder="1" applyFill="1" applyFont="1">
      <alignment horizontal="center" vertical="center"/>
    </xf>
    <xf borderId="4" fillId="0" fontId="18" numFmtId="1" xfId="0" applyAlignment="1" applyBorder="1" applyFont="1" applyNumberFormat="1">
      <alignment shrinkToFit="0" vertical="center" wrapText="0"/>
    </xf>
    <xf borderId="3" fillId="8" fontId="16" numFmtId="165" xfId="0" applyAlignment="1" applyBorder="1" applyFill="1" applyFont="1" applyNumberFormat="1">
      <alignment horizontal="center" vertical="center"/>
    </xf>
    <xf borderId="3" fillId="8" fontId="16" numFmtId="166" xfId="0" applyAlignment="1" applyBorder="1" applyFill="1" applyFont="1" applyNumberForma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0" fillId="9" fontId="19" numFmtId="0" xfId="0" applyAlignment="1" applyFill="1" applyFont="1">
      <alignment horizontal="center" shrinkToFit="0" vertical="center" wrapText="0"/>
    </xf>
    <xf borderId="0" fillId="9" fontId="19" numFmtId="0" xfId="0" applyAlignment="1" applyFill="1" applyFont="1">
      <alignment horizontal="center" vertical="center"/>
    </xf>
    <xf borderId="4" fillId="10" fontId="20" numFmtId="0" xfId="0" applyAlignment="1" applyBorder="1" applyFill="1" applyFont="1">
      <alignment horizontal="center" shrinkToFit="0" vertical="center" wrapText="1"/>
    </xf>
    <xf borderId="7" fillId="0" fontId="21" numFmtId="0" xfId="0" applyAlignment="1" applyBorder="1" applyFont="1">
      <alignment horizontal="center" vertical="center"/>
    </xf>
    <xf borderId="4" fillId="0" fontId="12" numFmtId="0" xfId="0" applyAlignment="1" applyBorder="1" applyFont="1">
      <alignment shrinkToFit="0" vertical="center" wrapText="1"/>
    </xf>
    <xf borderId="7" fillId="0" fontId="21" numFmtId="167" xfId="0" applyAlignment="1" applyBorder="1" applyFont="1" applyNumberFormat="1">
      <alignment horizontal="center" readingOrder="0" vertical="center"/>
    </xf>
    <xf borderId="7" fillId="8" fontId="21" numFmtId="0" xfId="0" applyAlignment="1" applyBorder="1" applyFill="1" applyFont="1">
      <alignment horizontal="center" readingOrder="0" vertical="center"/>
    </xf>
    <xf borderId="7" fillId="0" fontId="21" numFmtId="168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shrinkToFit="0" vertical="center" wrapText="0"/>
    </xf>
    <xf borderId="4" fillId="0" fontId="12" numFmtId="168" xfId="0" applyAlignment="1" applyBorder="1" applyFont="1" applyNumberFormat="1">
      <alignment shrinkToFit="0" vertical="center" wrapText="0"/>
    </xf>
    <xf borderId="7" fillId="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left" readingOrder="0" vertical="center"/>
    </xf>
    <xf borderId="4" fillId="0" fontId="22" numFmtId="0" xfId="0" applyAlignment="1" applyBorder="1" applyFont="1">
      <alignment shrinkToFit="0" vertical="center" wrapText="0"/>
    </xf>
    <xf borderId="0" fillId="11" fontId="2" numFmtId="0" xfId="0" applyAlignment="1" applyFill="1" applyFont="1">
      <alignment horizontal="center" vertical="center"/>
    </xf>
    <xf borderId="7" fillId="0" fontId="21" numFmtId="3" xfId="0" applyAlignment="1" applyBorder="1" applyFont="1" applyNumberFormat="1">
      <alignment horizontal="right" readingOrder="0" vertical="center"/>
    </xf>
    <xf borderId="7" fillId="0" fontId="21" numFmtId="0" xfId="0" applyAlignment="1" applyBorder="1" applyFont="1">
      <alignment horizontal="left" vertical="center"/>
    </xf>
    <xf borderId="7" fillId="0" fontId="21" numFmtId="167" xfId="0" applyAlignment="1" applyBorder="1" applyFont="1" applyNumberFormat="1">
      <alignment horizontal="center" vertical="center"/>
    </xf>
    <xf borderId="0" fillId="11" fontId="23" numFmtId="0" xfId="0" applyAlignment="1" applyFill="1" applyFont="1">
      <alignment horizontal="center" vertical="center"/>
    </xf>
    <xf borderId="3" fillId="5" fontId="24" numFmtId="0" xfId="0" applyAlignment="1" applyBorder="1" applyFill="1" applyFont="1">
      <alignment horizontal="center" vertical="center"/>
    </xf>
    <xf borderId="3" fillId="8" fontId="16" numFmtId="164" xfId="0" applyAlignment="1" applyBorder="1" applyFill="1" applyFont="1" applyNumberFormat="1">
      <alignment horizontal="center" vertical="center"/>
    </xf>
    <xf borderId="3" fillId="8" fontId="16" numFmtId="169" xfId="0" applyAlignment="1" applyBorder="1" applyFill="1" applyFont="1" applyNumberFormat="1">
      <alignment horizontal="center" vertical="center"/>
    </xf>
    <xf borderId="3" fillId="8" fontId="16" numFmtId="170" xfId="0" applyAlignment="1" applyBorder="1" applyFill="1" applyFont="1" applyNumberFormat="1">
      <alignment horizontal="center" vertical="center"/>
    </xf>
    <xf borderId="7" fillId="8" fontId="9" numFmtId="0" xfId="0" applyAlignment="1" applyBorder="1" applyFill="1" applyFont="1">
      <alignment horizontal="center" readingOrder="0" vertical="center"/>
    </xf>
    <xf borderId="3" fillId="8" fontId="16" numFmtId="0" xfId="0" applyAlignment="1" applyBorder="1" applyFill="1" applyFont="1">
      <alignment horizontal="center" readingOrder="0" vertical="center"/>
    </xf>
    <xf borderId="3" fillId="8" fontId="25" numFmtId="0" xfId="0" applyAlignment="1" applyBorder="1" applyFill="1" applyFont="1">
      <alignment horizontal="center" vertical="center"/>
    </xf>
    <xf borderId="3" fillId="8" fontId="26" numFmtId="0" xfId="0" applyAlignment="1" applyBorder="1" applyFill="1" applyFont="1">
      <alignment horizontal="center" vertical="center"/>
    </xf>
    <xf borderId="7" fillId="0" fontId="21" numFmtId="3" xfId="0" applyAlignment="1" applyBorder="1" applyFont="1" applyNumberFormat="1">
      <alignment horizontal="right" vertical="center"/>
    </xf>
    <xf borderId="3" fillId="8" fontId="25" numFmtId="0" xfId="0" applyAlignment="1" applyBorder="1" applyFill="1" applyFont="1">
      <alignment horizontal="center" readingOrder="0" vertical="center"/>
    </xf>
    <xf borderId="3" fillId="8" fontId="26" numFmtId="0" xfId="0" applyAlignment="1" applyBorder="1" applyFill="1" applyFon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3" fillId="12" fontId="19" numFmtId="0" xfId="0" applyAlignment="1" applyBorder="1" applyFill="1" applyFont="1">
      <alignment horizontal="center" readingOrder="0" shrinkToFit="0" vertical="center" wrapText="1"/>
    </xf>
    <xf borderId="8" fillId="0" fontId="21" numFmtId="0" xfId="0" applyAlignment="1" applyBorder="1" applyFont="1">
      <alignment horizontal="left" readingOrder="0" vertical="center"/>
    </xf>
    <xf borderId="8" fillId="0" fontId="21" numFmtId="3" xfId="0" applyAlignment="1" applyBorder="1" applyFont="1" applyNumberFormat="1">
      <alignment horizontal="right" readingOrder="0" vertical="center"/>
    </xf>
    <xf quotePrefix="1" borderId="8" fillId="0" fontId="21" numFmtId="167" xfId="0" applyAlignment="1" applyBorder="1" applyFont="1" applyNumberFormat="1">
      <alignment horizontal="center" readingOrder="0" vertical="center"/>
    </xf>
    <xf borderId="9" fillId="13" fontId="5" numFmtId="0" xfId="0" applyAlignment="1" applyBorder="1" applyFill="1" applyFont="1">
      <alignment horizontal="center" readingOrder="0" shrinkToFit="0" vertical="center" wrapText="1"/>
    </xf>
    <xf borderId="8" fillId="0" fontId="21" numFmtId="170" xfId="0" applyAlignment="1" applyBorder="1" applyFont="1" applyNumberFormat="1">
      <alignment horizontal="right" readingOrder="0" vertical="center"/>
    </xf>
    <xf borderId="8" fillId="0" fontId="21" numFmtId="0" xfId="0" applyAlignment="1" applyBorder="1" applyFont="1">
      <alignment horizontal="left" readingOrder="0" shrinkToFit="0" vertical="center" wrapText="1"/>
    </xf>
    <xf borderId="8" fillId="0" fontId="21" numFmtId="167" xfId="0" applyAlignment="1" applyBorder="1" applyFont="1" applyNumberFormat="1">
      <alignment horizontal="center" readingOrder="0" vertical="center"/>
    </xf>
    <xf borderId="8" fillId="0" fontId="21" numFmtId="0" xfId="0" applyAlignment="1" applyBorder="1" applyFont="1">
      <alignment horizontal="left" readingOrder="0" vertical="center"/>
    </xf>
    <xf borderId="8" fillId="0" fontId="21" numFmtId="0" xfId="0" applyAlignment="1" applyBorder="1" applyFont="1">
      <alignment horizontal="left" readingOrder="0" shrinkToFit="0" vertical="center" wrapText="1"/>
    </xf>
    <xf borderId="9" fillId="0" fontId="21" numFmtId="0" xfId="0" applyAlignment="1" applyBorder="1" applyFont="1">
      <alignment horizontal="left" shrinkToFit="0" vertical="center" wrapText="1"/>
    </xf>
    <xf borderId="10" fillId="3" fontId="6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0" fillId="14" fontId="27" numFmtId="0" xfId="0" applyAlignment="1" applyBorder="1" applyFill="1" applyFont="1">
      <alignment horizontal="center" readingOrder="0" vertical="center"/>
    </xf>
    <xf borderId="9" fillId="0" fontId="21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center" readingOrder="0" shrinkToFit="0" vertical="center" wrapText="1"/>
    </xf>
    <xf borderId="10" fillId="14" fontId="27" numFmtId="170" xfId="0" applyAlignment="1" applyBorder="1" applyFill="1" applyFont="1" applyNumberFormat="1">
      <alignment horizontal="center" readingOrder="0" vertical="center"/>
    </xf>
    <xf borderId="10" fillId="0" fontId="28" numFmtId="0" xfId="0" applyAlignment="1" applyBorder="1" applyFont="1">
      <alignment horizontal="center" readingOrder="0" vertical="center"/>
    </xf>
    <xf borderId="13" fillId="2" fontId="29" numFmtId="0" xfId="0" applyAlignment="1" applyBorder="1" applyFill="1" applyFont="1">
      <alignment horizontal="center" readingOrder="0" shrinkToFit="0" vertical="center" wrapText="0"/>
    </xf>
    <xf borderId="14" fillId="0" fontId="3" numFmtId="0" xfId="0" applyBorder="1" applyFont="1"/>
    <xf borderId="7" fillId="0" fontId="21" numFmtId="0" xfId="0" applyAlignment="1" applyBorder="1" applyFont="1">
      <alignment horizontal="center" readingOrder="0" vertical="center"/>
    </xf>
    <xf borderId="10" fillId="0" fontId="28" numFmtId="170" xfId="0" applyAlignment="1" applyBorder="1" applyFont="1" applyNumberFormat="1">
      <alignment horizontal="right" readingOrder="0" vertical="center"/>
    </xf>
    <xf borderId="15" fillId="0" fontId="3" numFmtId="0" xfId="0" applyBorder="1" applyFont="1"/>
    <xf borderId="10" fillId="0" fontId="21" numFmtId="170" xfId="0" applyAlignment="1" applyBorder="1" applyFont="1" applyNumberFormat="1">
      <alignment horizontal="center" readingOrder="0" vertical="center"/>
    </xf>
    <xf borderId="16" fillId="10" fontId="20" numFmtId="0" xfId="0" applyAlignment="1" applyBorder="1" applyFill="1" applyFont="1">
      <alignment horizontal="center" shrinkToFit="0" vertical="center" wrapText="0"/>
    </xf>
    <xf borderId="3" fillId="9" fontId="20" numFmtId="0" xfId="0" applyAlignment="1" applyBorder="1" applyFill="1" applyFont="1">
      <alignment horizontal="center" shrinkToFit="0" vertical="center" wrapText="1"/>
    </xf>
    <xf borderId="0" fillId="15" fontId="30" numFmtId="0" xfId="0" applyAlignment="1" applyFill="1" applyFont="1">
      <alignment horizontal="left" shrinkToFit="0" vertical="center" wrapText="0"/>
    </xf>
    <xf borderId="3" fillId="16" fontId="31" numFmtId="0" xfId="0" applyAlignment="1" applyBorder="1" applyFill="1" applyFont="1">
      <alignment horizontal="center" shrinkToFit="0" vertical="center" wrapText="1"/>
    </xf>
    <xf borderId="10" fillId="14" fontId="27" numFmtId="0" xfId="0" applyAlignment="1" applyBorder="1" applyFill="1" applyFont="1">
      <alignment horizontal="center" vertical="center"/>
    </xf>
    <xf borderId="17" fillId="17" fontId="28" numFmtId="0" xfId="0" applyAlignment="1" applyBorder="1" applyFill="1" applyFont="1">
      <alignment horizontal="left" readingOrder="0" shrinkToFit="0" vertical="center" wrapText="1"/>
    </xf>
    <xf borderId="3" fillId="16" fontId="31" numFmtId="164" xfId="0" applyAlignment="1" applyBorder="1" applyFill="1" applyFont="1" applyNumberFormat="1">
      <alignment horizontal="center" shrinkToFit="0" vertical="center" wrapText="1"/>
    </xf>
    <xf borderId="17" fillId="17" fontId="28" numFmtId="0" xfId="0" applyAlignment="1" applyBorder="1" applyFill="1" applyFont="1">
      <alignment horizontal="center" shrinkToFit="0" vertical="center" wrapText="1"/>
    </xf>
    <xf borderId="10" fillId="14" fontId="27" numFmtId="170" xfId="0" applyAlignment="1" applyBorder="1" applyFill="1" applyFont="1" applyNumberFormat="1">
      <alignment horizontal="right" vertical="center"/>
    </xf>
    <xf borderId="0" fillId="3" fontId="5" numFmtId="0" xfId="0" applyAlignment="1" applyFill="1" applyFont="1">
      <alignment horizontal="center" readingOrder="0" vertical="center"/>
    </xf>
    <xf borderId="3" fillId="5" fontId="24" numFmtId="0" xfId="0" applyAlignment="1" applyBorder="1" applyFill="1" applyFont="1">
      <alignment horizontal="center" readingOrder="0" vertical="center"/>
    </xf>
    <xf borderId="3" fillId="8" fontId="16" numFmtId="171" xfId="0" applyAlignment="1" applyBorder="1" applyFill="1" applyFont="1" applyNumberFormat="1">
      <alignment horizontal="center" vertical="center"/>
    </xf>
    <xf borderId="18" fillId="18" fontId="32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3" fillId="4" fontId="33" numFmtId="0" xfId="0" applyAlignment="1" applyBorder="1" applyFill="1" applyFont="1">
      <alignment horizontal="center" shrinkToFit="0" vertical="center" wrapText="1"/>
    </xf>
    <xf borderId="3" fillId="19" fontId="34" numFmtId="0" xfId="0" applyAlignment="1" applyBorder="1" applyFill="1" applyFont="1">
      <alignment horizontal="center" shrinkToFit="0" vertical="center" wrapText="1"/>
    </xf>
    <xf borderId="3" fillId="20" fontId="35" numFmtId="0" xfId="0" applyAlignment="1" applyBorder="1" applyFill="1" applyFont="1">
      <alignment horizontal="center" shrinkToFit="0" vertical="center" wrapText="1"/>
    </xf>
    <xf borderId="3" fillId="4" fontId="36" numFmtId="0" xfId="0" applyAlignment="1" applyBorder="1" applyFill="1" applyFont="1">
      <alignment horizontal="center" shrinkToFit="0" vertical="center" wrapText="1"/>
    </xf>
    <xf borderId="3" fillId="8" fontId="37" numFmtId="1" xfId="0" applyAlignment="1" applyBorder="1" applyFill="1" applyFont="1" applyNumberFormat="1">
      <alignment horizontal="center" shrinkToFit="0" vertical="center" wrapText="1"/>
    </xf>
    <xf borderId="3" fillId="8" fontId="38" numFmtId="1" xfId="0" applyAlignment="1" applyBorder="1" applyFill="1" applyFont="1" applyNumberFormat="1">
      <alignment horizontal="center" shrinkToFit="0" vertical="center" wrapText="1"/>
    </xf>
    <xf borderId="21" fillId="8" fontId="37" numFmtId="1" xfId="0" applyAlignment="1" applyBorder="1" applyFill="1" applyFont="1" applyNumberFormat="1">
      <alignment horizontal="center" shrinkToFit="0" vertical="center" wrapText="1"/>
    </xf>
    <xf borderId="22" fillId="0" fontId="3" numFmtId="0" xfId="0" applyBorder="1" applyFont="1"/>
    <xf borderId="21" fillId="8" fontId="39" numFmtId="9" xfId="0" applyAlignment="1" applyBorder="1" applyFill="1" applyFont="1" applyNumberFormat="1">
      <alignment horizontal="center" shrinkToFit="0" vertical="center" wrapText="1"/>
    </xf>
    <xf borderId="21" fillId="8" fontId="40" numFmtId="49" xfId="0" applyAlignment="1" applyBorder="1" applyFill="1" applyFont="1" applyNumberFormat="1">
      <alignment horizontal="center" shrinkToFit="0" vertical="center" wrapText="1"/>
    </xf>
    <xf borderId="23" fillId="2" fontId="2" numFmtId="0" xfId="0" applyAlignment="1" applyBorder="1" applyFill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1" fillId="8" fontId="41" numFmtId="165" xfId="0" applyAlignment="1" applyBorder="1" applyFill="1" applyFont="1" applyNumberFormat="1">
      <alignment horizontal="center" shrinkToFit="0" vertical="center" wrapText="1"/>
    </xf>
    <xf borderId="25" fillId="2" fontId="42" numFmtId="0" xfId="0" applyAlignment="1" applyBorder="1" applyFill="1" applyFont="1">
      <alignment horizontal="center" shrinkToFit="0" vertical="center" wrapText="0"/>
    </xf>
    <xf borderId="0" fillId="0" fontId="43" numFmtId="0" xfId="0" applyAlignment="1" applyFont="1">
      <alignment shrinkToFit="0" vertical="bottom" wrapText="0"/>
    </xf>
    <xf borderId="3" fillId="8" fontId="9" numFmtId="0" xfId="0" applyAlignment="1" applyBorder="1" applyFill="1" applyFont="1">
      <alignment horizontal="center" vertical="center"/>
    </xf>
    <xf borderId="0" fillId="16" fontId="44" numFmtId="0" xfId="0" applyAlignment="1" applyFill="1" applyFont="1">
      <alignment shrinkToFit="0" vertical="center" wrapText="0"/>
    </xf>
    <xf borderId="3" fillId="21" fontId="45" numFmtId="0" xfId="0" applyAlignment="1" applyBorder="1" applyFill="1" applyFont="1">
      <alignment horizontal="center" vertical="center"/>
    </xf>
    <xf borderId="0" fillId="22" fontId="46" numFmtId="168" xfId="0" applyAlignment="1" applyFill="1" applyFont="1" applyNumberFormat="1">
      <alignment horizontal="center" shrinkToFit="0" vertical="center" wrapText="0"/>
    </xf>
    <xf borderId="7" fillId="8" fontId="9" numFmtId="0" xfId="0" applyAlignment="1" applyBorder="1" applyFill="1" applyFont="1">
      <alignment horizontal="center" readingOrder="0" vertical="center"/>
    </xf>
    <xf borderId="3" fillId="2" fontId="19" numFmtId="0" xfId="0" applyAlignment="1" applyBorder="1" applyFill="1" applyFont="1">
      <alignment horizontal="center" shrinkToFit="0" vertical="center" wrapText="1"/>
    </xf>
    <xf borderId="26" fillId="2" fontId="19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28" fillId="0" fontId="3" numFmtId="0" xfId="0" applyBorder="1" applyFont="1"/>
    <xf borderId="3" fillId="0" fontId="18" numFmtId="0" xfId="0" applyAlignment="1" applyBorder="1" applyFont="1">
      <alignment horizontal="left" shrinkToFit="0" vertical="center" wrapText="1"/>
    </xf>
    <xf borderId="4" fillId="0" fontId="47" numFmtId="0" xfId="0" applyAlignment="1" applyBorder="1" applyFont="1">
      <alignment horizontal="center" shrinkToFit="0" vertical="center" wrapText="1"/>
    </xf>
    <xf borderId="3" fillId="0" fontId="47" numFmtId="0" xfId="0" applyAlignment="1" applyBorder="1" applyFont="1">
      <alignment horizontal="center" shrinkToFit="0" vertical="center" wrapText="1"/>
    </xf>
    <xf borderId="3" fillId="0" fontId="47" numFmtId="0" xfId="0" applyAlignment="1" applyBorder="1" applyFont="1">
      <alignment horizontal="left" shrinkToFit="0" vertical="center" wrapText="1"/>
    </xf>
    <xf borderId="3" fillId="0" fontId="47" numFmtId="164" xfId="0" applyAlignment="1" applyBorder="1" applyFont="1" applyNumberFormat="1">
      <alignment horizontal="center" shrinkToFit="0" vertical="center" wrapText="1"/>
    </xf>
    <xf borderId="0" fillId="15" fontId="30" numFmtId="0" xfId="0" applyAlignment="1" applyFill="1" applyFont="1">
      <alignment horizontal="left" vertical="center"/>
    </xf>
    <xf borderId="3" fillId="2" fontId="48" numFmtId="0" xfId="0" applyAlignment="1" applyBorder="1" applyFill="1" applyFont="1">
      <alignment horizontal="center" readingOrder="0" vertical="center"/>
    </xf>
    <xf borderId="4" fillId="4" fontId="10" numFmtId="164" xfId="0" applyAlignment="1" applyBorder="1" applyFill="1" applyFont="1" applyNumberFormat="1">
      <alignment shrinkToFit="0" vertical="center" wrapText="0"/>
    </xf>
    <xf borderId="29" fillId="10" fontId="20" numFmtId="0" xfId="0" applyAlignment="1" applyBorder="1" applyFill="1" applyFont="1">
      <alignment horizontal="center" readingOrder="0" shrinkToFit="0" vertical="center" wrapText="1"/>
    </xf>
    <xf borderId="4" fillId="0" fontId="49" numFmtId="0" xfId="0" applyAlignment="1" applyBorder="1" applyFont="1">
      <alignment horizontal="center" shrinkToFit="0" vertical="center" wrapText="1"/>
    </xf>
    <xf borderId="4" fillId="9" fontId="20" numFmtId="0" xfId="0" applyAlignment="1" applyBorder="1" applyFill="1" applyFont="1">
      <alignment horizontal="center" shrinkToFit="0" vertical="center" wrapText="1"/>
    </xf>
    <xf borderId="3" fillId="23" fontId="50" numFmtId="0" xfId="0" applyAlignment="1" applyBorder="1" applyFill="1" applyFont="1">
      <alignment horizontal="center" readingOrder="0" vertical="center"/>
    </xf>
    <xf borderId="30" fillId="0" fontId="3" numFmtId="0" xfId="0" applyBorder="1" applyFont="1"/>
    <xf borderId="3" fillId="24" fontId="51" numFmtId="0" xfId="0" applyAlignment="1" applyBorder="1" applyFill="1" applyFont="1">
      <alignment horizontal="center" readingOrder="0" vertical="center"/>
    </xf>
    <xf borderId="3" fillId="25" fontId="52" numFmtId="0" xfId="0" applyAlignment="1" applyBorder="1" applyFill="1" applyFont="1">
      <alignment horizontal="center" readingOrder="0" vertical="center"/>
    </xf>
    <xf borderId="4" fillId="10" fontId="20" numFmtId="164" xfId="0" applyAlignment="1" applyBorder="1" applyFill="1" applyFont="1" applyNumberFormat="1">
      <alignment horizontal="center" shrinkToFit="0" vertical="center" wrapText="1"/>
    </xf>
    <xf borderId="3" fillId="26" fontId="53" numFmtId="0" xfId="0" applyAlignment="1" applyBorder="1" applyFill="1" applyFont="1">
      <alignment horizontal="center" readingOrder="0" vertical="center"/>
    </xf>
    <xf borderId="3" fillId="8" fontId="54" numFmtId="1" xfId="0" applyAlignment="1" applyBorder="1" applyFill="1" applyFont="1" applyNumberFormat="1">
      <alignment horizontal="center" vertical="center"/>
    </xf>
    <xf borderId="7" fillId="0" fontId="21" numFmtId="168" xfId="0" applyAlignment="1" applyBorder="1" applyFont="1" applyNumberFormat="1">
      <alignment horizontal="center" vertical="center"/>
    </xf>
    <xf borderId="7" fillId="8" fontId="21" numFmtId="0" xfId="0" applyAlignment="1" applyBorder="1" applyFill="1" applyFont="1">
      <alignment horizontal="center" vertical="center"/>
    </xf>
    <xf borderId="3" fillId="8" fontId="55" numFmtId="9" xfId="0" applyAlignment="1" applyBorder="1" applyFill="1" applyFont="1" applyNumberFormat="1">
      <alignment horizontal="center" vertical="center"/>
    </xf>
    <xf borderId="3" fillId="8" fontId="56" numFmtId="0" xfId="0" applyAlignment="1" applyBorder="1" applyFill="1" applyFont="1">
      <alignment horizontal="center" vertical="center"/>
    </xf>
    <xf borderId="3" fillId="8" fontId="57" numFmtId="0" xfId="0" applyAlignment="1" applyBorder="1" applyFill="1" applyFont="1">
      <alignment horizontal="center" vertical="center"/>
    </xf>
    <xf borderId="3" fillId="27" fontId="9" numFmtId="0" xfId="0" applyAlignment="1" applyBorder="1" applyFill="1" applyFont="1">
      <alignment horizontal="center" vertical="center"/>
    </xf>
    <xf borderId="3" fillId="27" fontId="58" numFmtId="0" xfId="0" applyAlignment="1" applyBorder="1" applyFill="1" applyFont="1">
      <alignment horizontal="center" vertical="center"/>
    </xf>
    <xf borderId="3" fillId="28" fontId="59" numFmtId="0" xfId="0" applyAlignment="1" applyBorder="1" applyFill="1" applyFont="1">
      <alignment horizontal="center" readingOrder="0" vertical="center"/>
    </xf>
    <xf borderId="3" fillId="29" fontId="60" numFmtId="0" xfId="0" applyAlignment="1" applyBorder="1" applyFill="1" applyFont="1">
      <alignment horizontal="center" readingOrder="0" vertical="center"/>
    </xf>
    <xf borderId="3" fillId="15" fontId="61" numFmtId="0" xfId="0" applyAlignment="1" applyBorder="1" applyFill="1" applyFont="1">
      <alignment horizontal="center" vertical="center"/>
    </xf>
    <xf borderId="0" fillId="0" fontId="21" numFmtId="167" xfId="0" applyAlignment="1" applyFont="1" applyNumberFormat="1">
      <alignment horizontal="center" vertical="center"/>
    </xf>
    <xf borderId="7" fillId="8" fontId="9" numFmtId="0" xfId="0" applyAlignment="1" applyBorder="1" applyFill="1" applyFont="1">
      <alignment horizontal="center" vertical="center"/>
    </xf>
    <xf borderId="3" fillId="8" fontId="62" numFmtId="0" xfId="0" applyAlignment="1" applyBorder="1" applyFill="1" applyFont="1">
      <alignment horizontal="left" vertical="center"/>
    </xf>
    <xf borderId="3" fillId="24" fontId="63" numFmtId="0" xfId="0" applyAlignment="1" applyBorder="1" applyFill="1" applyFont="1">
      <alignment horizontal="center" shrinkToFit="0" vertical="center" wrapText="1"/>
    </xf>
    <xf borderId="3" fillId="30" fontId="63" numFmtId="0" xfId="0" applyAlignment="1" applyBorder="1" applyFill="1" applyFont="1">
      <alignment horizontal="center" shrinkToFit="0" vertical="center" wrapText="1"/>
    </xf>
    <xf borderId="3" fillId="25" fontId="63" numFmtId="0" xfId="0" applyAlignment="1" applyBorder="1" applyFill="1" applyFont="1">
      <alignment horizontal="center" shrinkToFit="0" vertical="center" wrapText="1"/>
    </xf>
    <xf borderId="3" fillId="26" fontId="63" numFmtId="0" xfId="0" applyAlignment="1" applyBorder="1" applyFill="1" applyFont="1">
      <alignment horizontal="center" shrinkToFit="0" vertical="center" wrapText="1"/>
    </xf>
    <xf borderId="3" fillId="0" fontId="64" numFmtId="1" xfId="0" applyAlignment="1" applyBorder="1" applyFont="1" applyNumberFormat="1">
      <alignment horizontal="center" shrinkToFit="0" vertical="center" wrapText="1"/>
    </xf>
    <xf borderId="3" fillId="0" fontId="64" numFmtId="9" xfId="0" applyAlignment="1" applyBorder="1" applyFont="1" applyNumberFormat="1">
      <alignment horizontal="center" shrinkToFit="0" vertical="center" wrapText="1"/>
    </xf>
    <xf borderId="3" fillId="0" fontId="65" numFmtId="0" xfId="0" applyAlignment="1" applyBorder="1" applyFont="1">
      <alignment horizontal="left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3" fillId="15" fontId="66" numFmtId="0" xfId="0" applyAlignment="1" applyBorder="1" applyFill="1" applyFont="1">
      <alignment horizontal="center" shrinkToFit="0" vertical="center" wrapText="1"/>
    </xf>
    <xf borderId="31" fillId="8" fontId="49" numFmtId="0" xfId="0" applyAlignment="1" applyBorder="1" applyFill="1" applyFont="1">
      <alignment horizontal="center" shrinkToFit="0" vertical="center" wrapText="1"/>
    </xf>
    <xf borderId="32" fillId="8" fontId="49" numFmtId="0" xfId="0" applyAlignment="1" applyBorder="1" applyFill="1" applyFont="1">
      <alignment horizontal="center" shrinkToFit="0" vertical="center" wrapText="1"/>
    </xf>
    <xf borderId="33" fillId="8" fontId="49" numFmtId="0" xfId="0" applyAlignment="1" applyBorder="1" applyFill="1" applyFont="1">
      <alignment horizontal="center" shrinkToFit="0" vertical="center" wrapText="1"/>
    </xf>
    <xf borderId="34" fillId="8" fontId="49" numFmtId="0" xfId="0" applyAlignment="1" applyBorder="1" applyFill="1" applyFont="1">
      <alignment horizontal="center" shrinkToFit="0" vertical="center" wrapText="1"/>
    </xf>
    <xf borderId="1" fillId="2" fontId="67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2" fillId="0" fontId="3" numFmtId="0" xfId="0" applyBorder="1" applyFont="1"/>
    <xf borderId="0" fillId="2" fontId="68" numFmtId="0" xfId="0" applyAlignment="1" applyBorder="1" applyFill="1" applyFont="1">
      <alignment horizontal="center" shrinkToFit="0" vertical="center" wrapText="0"/>
    </xf>
    <xf borderId="0" fillId="0" fontId="3" numFmtId="0" xfId="0" applyBorder="1" applyFont="1"/>
    <xf borderId="0" fillId="0" fontId="3" numFmtId="0" xfId="0" applyBorder="1" applyFont="1"/>
    <xf borderId="30" fillId="5" fontId="11" numFmtId="0" xfId="0" applyAlignment="1" applyBorder="1" applyFill="1" applyFont="1">
      <alignment horizontal="center" readingOrder="0" vertical="center"/>
    </xf>
    <xf borderId="26" fillId="5" fontId="11" numFmtId="0" xfId="0" applyAlignment="1" applyBorder="1" applyFill="1" applyFont="1">
      <alignment horizontal="center" readingOrder="0" vertical="center"/>
    </xf>
    <xf borderId="21" fillId="5" fontId="69" numFmtId="0" xfId="0" applyAlignment="1" applyBorder="1" applyFill="1" applyFont="1">
      <alignment horizontal="center" readingOrder="0" shrinkToFit="0" vertical="center" wrapText="1"/>
    </xf>
    <xf borderId="35" fillId="0" fontId="3" numFmtId="0" xfId="0" applyBorder="1" applyFont="1"/>
    <xf borderId="4" fillId="8" fontId="16" numFmtId="3" xfId="0" applyAlignment="1" applyBorder="1" applyFill="1" applyFont="1" applyNumberFormat="1">
      <alignment horizontal="center" vertical="center"/>
    </xf>
    <xf borderId="3" fillId="8" fontId="16" numFmtId="0" xfId="0" applyAlignment="1" applyBorder="1" applyFill="1" applyFont="1">
      <alignment horizontal="center" vertical="center"/>
    </xf>
    <xf borderId="26" fillId="0" fontId="3" numFmtId="0" xfId="0" applyBorder="1" applyFont="1"/>
    <xf borderId="4" fillId="10" fontId="20" numFmtId="0" xfId="0" applyAlignment="1" applyBorder="1" applyFill="1" applyFont="1">
      <alignment horizontal="center" shrinkToFit="0" vertical="center" wrapText="1"/>
    </xf>
    <xf borderId="4" fillId="0" fontId="18" numFmtId="9" xfId="0" applyAlignment="1" applyBorder="1" applyFont="1" applyNumberFormat="1">
      <alignment horizontal="center" readingOrder="0" shrinkToFit="0" vertical="bottom" wrapText="0"/>
    </xf>
    <xf borderId="4" fillId="0" fontId="18" numFmtId="0" xfId="0" applyAlignment="1" applyBorder="1" applyFont="1">
      <alignment shrinkToFit="0" vertical="center" wrapText="0"/>
    </xf>
    <xf borderId="4" fillId="0" fontId="18" numFmtId="9" xfId="0" applyAlignment="1" applyBorder="1" applyFont="1" applyNumberFormat="1">
      <alignment horizontal="center" shrinkToFit="0" vertical="center" wrapText="0"/>
    </xf>
    <xf borderId="4" fillId="0" fontId="7" numFmtId="0" xfId="0" applyAlignment="1" applyBorder="1" applyFont="1">
      <alignment vertical="center"/>
    </xf>
    <xf borderId="4" fillId="0" fontId="18" numFmtId="9" xfId="0" applyAlignment="1" applyBorder="1" applyFont="1" applyNumberFormat="1">
      <alignment shrinkToFit="0" vertical="center" wrapText="0"/>
    </xf>
    <xf borderId="36" fillId="8" fontId="18" numFmtId="0" xfId="0" applyAlignment="1" applyBorder="1" applyFill="1" applyFont="1">
      <alignment shrinkToFit="0" vertical="center" wrapText="0"/>
    </xf>
    <xf borderId="36" fillId="8" fontId="18" numFmtId="9" xfId="0" applyAlignment="1" applyBorder="1" applyFill="1" applyFont="1" applyNumberFormat="1">
      <alignment shrinkToFit="0" vertical="center" wrapText="0"/>
    </xf>
    <xf borderId="0" fillId="8" fontId="7" numFmtId="0" xfId="0" applyBorder="1" applyFill="1" applyFont="1"/>
    <xf borderId="4" fillId="0" fontId="18" numFmtId="9" xfId="0" applyAlignment="1" applyBorder="1" applyFont="1" applyNumberFormat="1">
      <alignment horizontal="center" shrinkToFit="0" vertical="bottom" wrapText="0"/>
    </xf>
    <xf borderId="4" fillId="4" fontId="70" numFmtId="0" xfId="0" applyAlignment="1" applyBorder="1" applyFill="1" applyFont="1">
      <alignment horizontal="center" shrinkToFit="0" vertical="center" wrapText="1"/>
    </xf>
    <xf borderId="4" fillId="4" fontId="71" numFmtId="0" xfId="0" applyAlignment="1" applyBorder="1" applyFill="1" applyFont="1">
      <alignment horizontal="center" shrinkToFit="0" vertical="center" wrapText="1"/>
    </xf>
    <xf borderId="4" fillId="8" fontId="72" numFmtId="1" xfId="0" applyAlignment="1" applyBorder="1" applyFill="1" applyFont="1" applyNumberFormat="1">
      <alignment horizontal="center" shrinkToFit="0" vertical="center" wrapText="0"/>
    </xf>
    <xf borderId="4" fillId="0" fontId="73" numFmtId="0" xfId="0" applyAlignment="1" applyBorder="1" applyFont="1">
      <alignment shrinkToFit="0" vertical="center" wrapText="0"/>
    </xf>
    <xf borderId="4" fillId="8" fontId="72" numFmtId="9" xfId="0" applyAlignment="1" applyBorder="1" applyFill="1" applyFont="1" applyNumberFormat="1">
      <alignment horizontal="center" shrinkToFit="0" vertical="center" wrapText="0"/>
    </xf>
    <xf borderId="4" fillId="0" fontId="74" numFmtId="9" xfId="0" applyAlignment="1" applyBorder="1" applyFont="1" applyNumberFormat="1">
      <alignment horizontal="center" shrinkToFit="0" vertical="bottom" wrapText="0"/>
    </xf>
    <xf borderId="4" fillId="8" fontId="75" numFmtId="1" xfId="0" applyAlignment="1" applyBorder="1" applyFill="1" applyFont="1" applyNumberFormat="1">
      <alignment horizontal="center" shrinkToFit="0" vertical="center" wrapText="0"/>
    </xf>
    <xf borderId="0" fillId="16" fontId="44" numFmtId="0" xfId="0" applyAlignment="1" applyFill="1" applyFont="1">
      <alignment vertical="center"/>
    </xf>
    <xf borderId="4" fillId="0" fontId="12" numFmtId="171" xfId="0" applyAlignment="1" applyBorder="1" applyFont="1" applyNumberFormat="1">
      <alignment shrinkToFit="0" vertical="center" wrapText="1"/>
    </xf>
    <xf borderId="4" fillId="0" fontId="12" numFmtId="168" xfId="0" applyAlignment="1" applyBorder="1" applyFont="1" applyNumberFormat="1">
      <alignment shrinkToFit="0" vertical="center" wrapText="1"/>
    </xf>
    <xf borderId="4" fillId="0" fontId="12" numFmtId="164" xfId="0" applyAlignment="1" applyBorder="1" applyFont="1" applyNumberFormat="1">
      <alignment shrinkToFit="0" vertical="center" wrapText="1"/>
    </xf>
    <xf borderId="4" fillId="0" fontId="18" numFmtId="1" xfId="0" applyAlignment="1" applyBorder="1" applyFont="1" applyNumberFormat="1">
      <alignment horizontal="center" shrinkToFit="0" vertical="bottom" wrapText="0"/>
    </xf>
    <xf borderId="4" fillId="0" fontId="2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readingOrder="0" shrinkToFit="0" vertical="center" wrapText="1"/>
    </xf>
    <xf borderId="4" fillId="0" fontId="73" numFmtId="0" xfId="0" applyAlignment="1" applyBorder="1" applyFont="1">
      <alignment shrinkToFit="0" vertical="center" wrapText="1"/>
    </xf>
    <xf borderId="4" fillId="0" fontId="73" numFmtId="171" xfId="0" applyAlignment="1" applyBorder="1" applyFont="1" applyNumberFormat="1">
      <alignment shrinkToFit="0" vertical="center" wrapText="1"/>
    </xf>
    <xf borderId="4" fillId="0" fontId="73" numFmtId="168" xfId="0" applyAlignment="1" applyBorder="1" applyFont="1" applyNumberFormat="1">
      <alignment shrinkToFit="0" vertical="center" wrapText="1"/>
    </xf>
    <xf borderId="4" fillId="0" fontId="73" numFmtId="164" xfId="0" applyAlignment="1" applyBorder="1" applyFont="1" applyNumberFormat="1">
      <alignment shrinkToFit="0" vertical="center" wrapText="1"/>
    </xf>
    <xf borderId="4" fillId="0" fontId="74" numFmtId="1" xfId="0" applyAlignment="1" applyBorder="1" applyFont="1" applyNumberFormat="1">
      <alignment horizontal="center" shrinkToFit="0" vertical="bottom" wrapText="0"/>
    </xf>
    <xf borderId="4" fillId="0" fontId="76" numFmtId="0" xfId="0" applyAlignment="1" applyBorder="1" applyFont="1">
      <alignment shrinkToFit="0" vertical="bottom" wrapText="0"/>
    </xf>
    <xf borderId="1" fillId="2" fontId="67" numFmtId="0" xfId="0" applyAlignment="1" applyBorder="1" applyFill="1" applyFont="1">
      <alignment horizontal="center" shrinkToFit="0" vertical="center" wrapText="0"/>
    </xf>
    <xf borderId="25" fillId="2" fontId="77" numFmtId="0" xfId="0" applyAlignment="1" applyBorder="1" applyFill="1" applyFont="1">
      <alignment horizontal="center" shrinkToFit="0" vertical="center" wrapText="0"/>
    </xf>
    <xf borderId="4" fillId="4" fontId="10" numFmtId="1" xfId="0" applyAlignment="1" applyBorder="1" applyFill="1" applyFont="1" applyNumberFormat="1">
      <alignment shrinkToFit="0" vertical="center" wrapText="0"/>
    </xf>
    <xf borderId="0" fillId="4" fontId="10" numFmtId="0" xfId="0" applyAlignment="1" applyFill="1" applyFont="1">
      <alignment vertical="center"/>
    </xf>
    <xf borderId="1" fillId="9" fontId="78" numFmtId="0" xfId="0" applyAlignment="1" applyBorder="1" applyFill="1" applyFont="1">
      <alignment horizontal="center" shrinkToFit="0" vertical="center" wrapText="0"/>
    </xf>
    <xf borderId="37" fillId="0" fontId="3" numFmtId="0" xfId="0" applyBorder="1" applyFont="1"/>
    <xf borderId="4" fillId="0" fontId="63" numFmtId="172" xfId="0" applyAlignment="1" applyBorder="1" applyFont="1" applyNumberFormat="1">
      <alignment horizontal="right" shrinkToFit="0" vertical="bottom" wrapText="0"/>
    </xf>
    <xf borderId="37" fillId="0" fontId="3" numFmtId="0" xfId="0" applyBorder="1" applyFont="1"/>
    <xf borderId="0" fillId="2" fontId="79" numFmtId="0" xfId="0" applyAlignment="1" applyBorder="1" applyFill="1" applyFont="1">
      <alignment horizontal="center" vertical="center"/>
    </xf>
    <xf borderId="4" fillId="0" fontId="47" numFmtId="0" xfId="0" applyAlignment="1" applyBorder="1" applyFont="1">
      <alignment shrinkToFit="0" vertical="top" wrapText="1"/>
    </xf>
    <xf borderId="4" fillId="5" fontId="11" numFmtId="0" xfId="0" applyAlignment="1" applyBorder="1" applyFill="1" applyFont="1">
      <alignment horizontal="center" readingOrder="0" vertical="center"/>
    </xf>
    <xf borderId="3" fillId="5" fontId="11" numFmtId="0" xfId="0" applyAlignment="1" applyBorder="1" applyFill="1" applyFont="1">
      <alignment horizontal="center" readingOrder="0" vertical="center"/>
    </xf>
    <xf borderId="4" fillId="8" fontId="16" numFmtId="173" xfId="0" applyAlignment="1" applyBorder="1" applyFill="1" applyFont="1" applyNumberFormat="1">
      <alignment horizontal="center" vertical="center"/>
    </xf>
    <xf borderId="3" fillId="8" fontId="16" numFmtId="173" xfId="0" applyAlignment="1" applyBorder="1" applyFill="1" applyFont="1" applyNumberFormat="1">
      <alignment horizontal="center" vertical="center"/>
    </xf>
    <xf borderId="37" fillId="2" fontId="80" numFmtId="0" xfId="0" applyAlignment="1" applyBorder="1" applyFill="1" applyFont="1">
      <alignment horizontal="center" shrinkToFit="0" vertical="center" wrapText="0"/>
    </xf>
    <xf borderId="0" fillId="2" fontId="6" numFmtId="0" xfId="0" applyAlignment="1" applyFill="1" applyFont="1">
      <alignment horizontal="center" vertical="center"/>
    </xf>
    <xf borderId="0" fillId="2" fontId="67" numFmtId="0" xfId="0" applyAlignment="1" applyFill="1" applyFont="1">
      <alignment vertical="center"/>
    </xf>
    <xf borderId="3" fillId="4" fontId="10" numFmtId="164" xfId="0" applyAlignment="1" applyBorder="1" applyFill="1" applyFont="1" applyNumberFormat="1">
      <alignment shrinkToFit="0" vertical="center" wrapText="0"/>
    </xf>
    <xf borderId="3" fillId="4" fontId="71" numFmtId="0" xfId="0" applyAlignment="1" applyBorder="1" applyFill="1" applyFont="1">
      <alignment horizontal="center" vertical="center"/>
    </xf>
    <xf borderId="0" fillId="0" fontId="13" numFmtId="0" xfId="0" applyAlignment="1" applyFont="1">
      <alignment shrinkToFit="0" vertical="center" wrapText="0"/>
    </xf>
    <xf borderId="3" fillId="8" fontId="81" numFmtId="0" xfId="0" applyAlignment="1" applyBorder="1" applyFill="1" applyFont="1">
      <alignment horizontal="center" shrinkToFit="0" vertical="center" wrapText="1"/>
    </xf>
    <xf borderId="4" fillId="9" fontId="82" numFmtId="0" xfId="0" applyAlignment="1" applyBorder="1" applyFill="1" applyFont="1">
      <alignment horizontal="center" shrinkToFit="0" vertical="center" wrapText="1"/>
    </xf>
    <xf borderId="4" fillId="24" fontId="49" numFmtId="0" xfId="0" applyAlignment="1" applyBorder="1" applyFill="1" applyFont="1">
      <alignment horizontal="center" shrinkToFit="0" vertical="center" wrapText="1"/>
    </xf>
    <xf borderId="4" fillId="10" fontId="20" numFmtId="174" xfId="0" applyAlignment="1" applyBorder="1" applyFill="1" applyFont="1" applyNumberFormat="1">
      <alignment horizontal="center" shrinkToFit="0" vertical="center" wrapText="1"/>
    </xf>
    <xf borderId="4" fillId="24" fontId="83" numFmtId="174" xfId="0" applyAlignment="1" applyBorder="1" applyFill="1" applyFont="1" applyNumberFormat="1">
      <alignment horizontal="center" shrinkToFit="0" vertical="bottom" wrapText="1"/>
    </xf>
    <xf borderId="4" fillId="0" fontId="12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horizontal="center" readingOrder="0" shrinkToFit="0" vertical="center" wrapText="0"/>
    </xf>
    <xf borderId="4" fillId="31" fontId="28" numFmtId="0" xfId="0" applyAlignment="1" applyBorder="1" applyFill="1" applyFont="1">
      <alignment readingOrder="0" shrinkToFit="0" vertical="center" wrapText="0"/>
    </xf>
    <xf borderId="4" fillId="31" fontId="28" numFmtId="1" xfId="0" applyAlignment="1" applyBorder="1" applyFill="1" applyFont="1" applyNumberFormat="1">
      <alignment horizontal="center" shrinkToFit="0" vertical="center" wrapText="0"/>
    </xf>
    <xf borderId="4" fillId="31" fontId="28" numFmtId="9" xfId="0" applyAlignment="1" applyBorder="1" applyFill="1" applyFont="1" applyNumberFormat="1">
      <alignment horizontal="center" shrinkToFit="0" vertical="center" wrapText="0"/>
    </xf>
    <xf borderId="13" fillId="2" fontId="67" numFmtId="0" xfId="0" applyAlignment="1" applyBorder="1" applyFill="1" applyFont="1">
      <alignment horizontal="center" shrinkToFit="0" vertical="center" wrapText="0"/>
    </xf>
    <xf borderId="25" fillId="2" fontId="84" numFmtId="0" xfId="0" applyAlignment="1" applyBorder="1" applyFill="1" applyFont="1">
      <alignment horizontal="center" vertical="center"/>
    </xf>
    <xf borderId="3" fillId="4" fontId="10" numFmtId="1" xfId="0" applyAlignment="1" applyBorder="1" applyFill="1" applyFont="1" applyNumberFormat="1">
      <alignment horizontal="center" shrinkToFit="0" vertical="center" wrapText="0"/>
    </xf>
    <xf borderId="1" fillId="2" fontId="85" numFmtId="0" xfId="0" applyAlignment="1" applyBorder="1" applyFill="1" applyFont="1">
      <alignment horizontal="center" shrinkToFit="0" vertical="center" wrapText="0"/>
    </xf>
    <xf borderId="1" fillId="25" fontId="63" numFmtId="0" xfId="0" applyAlignment="1" applyBorder="1" applyFill="1" applyFont="1">
      <alignment horizontal="center" shrinkToFit="0" vertical="bottom" wrapText="1"/>
    </xf>
    <xf borderId="4" fillId="4" fontId="86" numFmtId="0" xfId="0" applyAlignment="1" applyBorder="1" applyFill="1" applyFont="1">
      <alignment horizontal="center" shrinkToFit="0" vertical="center" wrapText="1"/>
    </xf>
    <xf borderId="0" fillId="0" fontId="87" numFmtId="0" xfId="0" applyAlignment="1" applyFont="1">
      <alignment horizontal="center" shrinkToFit="0" vertical="center" wrapText="0"/>
    </xf>
    <xf borderId="0" fillId="20" fontId="88" numFmtId="0" xfId="0" applyAlignment="1" applyFill="1" applyFont="1">
      <alignment shrinkToFit="0" vertical="center" wrapText="0"/>
    </xf>
    <xf borderId="4" fillId="8" fontId="72" numFmtId="0" xfId="0" applyAlignment="1" applyBorder="1" applyFill="1" applyFont="1">
      <alignment horizontal="center" shrinkToFit="0" vertical="center" wrapText="0"/>
    </xf>
    <xf borderId="0" fillId="20" fontId="88" numFmtId="0" xfId="0" applyAlignment="1" applyFill="1" applyFont="1">
      <alignment horizontal="center" shrinkToFit="0" vertical="center" wrapText="0"/>
    </xf>
    <xf borderId="4" fillId="8" fontId="89" numFmtId="165" xfId="0" applyAlignment="1" applyBorder="1" applyFill="1" applyFont="1" applyNumberFormat="1">
      <alignment horizontal="center" vertical="center"/>
    </xf>
    <xf borderId="4" fillId="8" fontId="9" numFmtId="0" xfId="0" applyAlignment="1" applyBorder="1" applyFill="1" applyFont="1">
      <alignment horizontal="center" vertical="center"/>
    </xf>
    <xf borderId="0" fillId="20" fontId="88" numFmtId="0" xfId="0" applyAlignment="1" applyFill="1" applyFont="1">
      <alignment vertical="center"/>
    </xf>
    <xf borderId="0" fillId="15" fontId="90" numFmtId="0" xfId="0" applyAlignment="1" applyFill="1" applyFont="1">
      <alignment shrinkToFit="0" vertical="center" wrapText="0"/>
    </xf>
    <xf borderId="4" fillId="0" fontId="12" numFmtId="0" xfId="0" applyAlignment="1" applyBorder="1" applyFont="1">
      <alignment horizontal="center" readingOrder="0" shrinkToFit="0" vertical="bottom" wrapText="0"/>
    </xf>
    <xf borderId="0" fillId="15" fontId="90" numFmtId="9" xfId="0" applyAlignment="1" applyFill="1" applyFont="1" applyNumberFormat="1">
      <alignment horizontal="center" shrinkToFit="0" vertical="center" wrapText="0"/>
    </xf>
    <xf borderId="4" fillId="0" fontId="12" numFmtId="164" xfId="0" applyAlignment="1" applyBorder="1" applyFont="1" applyNumberFormat="1">
      <alignment readingOrder="0" shrinkToFit="0" vertical="center" wrapText="0"/>
    </xf>
    <xf borderId="0" fillId="15" fontId="90" numFmtId="0" xfId="0" applyAlignment="1" applyFill="1" applyFont="1">
      <alignment vertical="center"/>
    </xf>
    <xf borderId="4" fillId="0" fontId="12" numFmtId="0" xfId="0" applyAlignment="1" applyBorder="1" applyFont="1">
      <alignment readingOrder="0" shrinkToFit="0" vertical="center" wrapText="0"/>
    </xf>
    <xf borderId="4" fillId="0" fontId="12" numFmtId="0" xfId="0" applyAlignment="1" applyBorder="1" applyFont="1">
      <alignment horizontal="center" shrinkToFit="0" vertical="bottom" wrapText="0"/>
    </xf>
    <xf borderId="0" fillId="0" fontId="91" numFmtId="0" xfId="0" applyAlignment="1" applyFont="1">
      <alignment shrinkToFit="0" vertical="bottom" wrapText="0"/>
    </xf>
    <xf borderId="29" fillId="10" fontId="82" numFmtId="0" xfId="0" applyAlignment="1" applyBorder="1" applyFill="1" applyFont="1">
      <alignment horizontal="center" shrinkToFit="0" vertical="center" wrapText="1"/>
    </xf>
    <xf borderId="4" fillId="10" fontId="82" numFmtId="0" xfId="0" applyAlignment="1" applyBorder="1" applyFill="1" applyFont="1">
      <alignment horizontal="center" shrinkToFit="0" vertical="center" wrapText="0"/>
    </xf>
    <xf borderId="4" fillId="0" fontId="73" numFmtId="0" xfId="0" applyAlignment="1" applyBorder="1" applyFont="1">
      <alignment horizontal="center" shrinkToFit="0" vertical="bottom" wrapText="0"/>
    </xf>
    <xf borderId="4" fillId="0" fontId="73" numFmtId="164" xfId="0" applyAlignment="1" applyBorder="1" applyFont="1" applyNumberFormat="1">
      <alignment shrinkToFit="0" vertical="center" wrapText="0"/>
    </xf>
    <xf borderId="0" fillId="10" fontId="82" numFmtId="0" xfId="0" applyAlignment="1" applyFill="1" applyFont="1">
      <alignment horizontal="center" vertical="center"/>
    </xf>
    <xf borderId="4" fillId="32" fontId="92" numFmtId="0" xfId="0" applyAlignment="1" applyBorder="1" applyFill="1" applyFont="1">
      <alignment horizontal="center" shrinkToFit="0" vertical="center" wrapText="0"/>
    </xf>
    <xf borderId="0" fillId="32" fontId="92" numFmtId="0" xfId="0" applyAlignment="1" applyFill="1" applyFont="1">
      <alignment horizontal="center" vertical="center"/>
    </xf>
    <xf borderId="4" fillId="0" fontId="18" numFmtId="0" xfId="0" applyAlignment="1" applyBorder="1" applyFont="1">
      <alignment horizontal="center" shrinkToFit="0" vertical="bottom" wrapText="0"/>
    </xf>
    <xf borderId="0" fillId="0" fontId="93" numFmtId="0" xfId="0" applyAlignment="1" applyFont="1">
      <alignment shrinkToFit="0" vertical="bottom" wrapText="0"/>
    </xf>
    <xf borderId="4" fillId="0" fontId="12" numFmtId="168" xfId="0" applyAlignment="1" applyBorder="1" applyFont="1" applyNumberFormat="1">
      <alignment readingOrder="0" shrinkToFit="0" vertical="center" wrapText="0"/>
    </xf>
    <xf borderId="4" fillId="0" fontId="73" numFmtId="168" xfId="0" applyAlignment="1" applyBorder="1" applyFont="1" applyNumberFormat="1">
      <alignment shrinkToFit="0" vertical="center" wrapText="0"/>
    </xf>
    <xf borderId="1" fillId="2" fontId="29" numFmtId="0" xfId="0" applyAlignment="1" applyBorder="1" applyFill="1" applyFont="1">
      <alignment horizontal="center" shrinkToFit="0" vertical="center" wrapText="0"/>
    </xf>
    <xf borderId="13" fillId="2" fontId="94" numFmtId="0" xfId="0" applyAlignment="1" applyBorder="1" applyFill="1" applyFont="1">
      <alignment horizontal="center" shrinkToFit="0" vertical="center" wrapText="0"/>
    </xf>
    <xf borderId="1" fillId="4" fontId="95" numFmtId="0" xfId="0" applyAlignment="1" applyBorder="1" applyFill="1" applyFont="1">
      <alignment horizontal="left" shrinkToFit="0" vertical="center" wrapText="0"/>
    </xf>
    <xf borderId="0" fillId="33" fontId="96" numFmtId="0" xfId="0" applyAlignment="1" applyFill="1" applyFont="1">
      <alignment horizontal="center" shrinkToFit="0" vertical="center" wrapText="0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readingOrder="0" shrinkToFit="0" vertical="bottom" wrapText="1"/>
    </xf>
    <xf borderId="0" fillId="0" fontId="49" numFmtId="0" xfId="0" applyAlignment="1" applyFont="1">
      <alignment shrinkToFit="0" vertical="bottom" wrapText="0"/>
    </xf>
    <xf borderId="0" fillId="33" fontId="97" numFmtId="0" xfId="0" applyAlignment="1" applyFill="1" applyFont="1">
      <alignment shrinkToFit="0" vertical="center" wrapText="0"/>
    </xf>
    <xf borderId="0" fillId="0" fontId="18" numFmtId="0" xfId="0" applyAlignment="1" applyFont="1">
      <alignment shrinkToFit="0" vertical="bottom" wrapText="0"/>
    </xf>
    <xf borderId="0" fillId="33" fontId="98" numFmtId="0" xfId="0" applyAlignment="1" applyFill="1" applyFont="1">
      <alignment horizontal="left" shrinkToFit="0" vertical="center" wrapText="0"/>
    </xf>
    <xf borderId="0" fillId="8" fontId="18" numFmtId="0" xfId="0" applyAlignment="1" applyFill="1" applyFont="1">
      <alignment horizontal="left" readingOrder="0" shrinkToFit="0" vertical="bottom" wrapText="0"/>
    </xf>
    <xf borderId="1" fillId="34" fontId="99" numFmtId="0" xfId="0" applyAlignment="1" applyBorder="1" applyFill="1" applyFont="1">
      <alignment horizontal="left" shrinkToFit="0" vertical="center" wrapText="0"/>
    </xf>
    <xf borderId="0" fillId="35" fontId="100" numFmtId="0" xfId="0" applyAlignment="1" applyFill="1" applyFont="1">
      <alignment shrinkToFit="0" vertical="center" wrapText="1"/>
    </xf>
    <xf borderId="0" fillId="2" fontId="101" numFmtId="0" xfId="0" applyAlignment="1" applyFill="1" applyFont="1">
      <alignment horizontal="center" shrinkToFit="0" vertical="center" wrapText="0"/>
    </xf>
    <xf borderId="0" fillId="2" fontId="78" numFmtId="0" xfId="0" applyAlignment="1" applyFill="1" applyFont="1">
      <alignment vertical="center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10" fontId="20" numFmtId="0" xfId="0" applyAlignment="1" applyFill="1" applyFont="1">
      <alignment horizontal="center" shrinkToFit="0" vertical="center" wrapText="0"/>
    </xf>
    <xf borderId="0" fillId="10" fontId="20" numFmtId="0" xfId="0" applyAlignment="1" applyFill="1" applyFont="1">
      <alignment horizontal="center" vertical="center"/>
    </xf>
    <xf borderId="38" fillId="36" fontId="28" numFmtId="0" xfId="0" applyAlignment="1" applyBorder="1" applyFill="1" applyFont="1">
      <alignment horizontal="center" readingOrder="0"/>
    </xf>
    <xf borderId="39" fillId="36" fontId="28" numFmtId="0" xfId="0" applyAlignment="1" applyBorder="1" applyFill="1" applyFont="1">
      <alignment horizontal="center" readingOrder="0"/>
    </xf>
    <xf borderId="40" fillId="0" fontId="9" numFmtId="0" xfId="0" applyAlignment="1" applyBorder="1" applyFont="1">
      <alignment readingOrder="0"/>
    </xf>
    <xf borderId="41" fillId="0" fontId="9" numFmtId="3" xfId="0" applyAlignment="1" applyBorder="1" applyFont="1" applyNumberFormat="1">
      <alignment horizontal="right"/>
    </xf>
    <xf borderId="0" fillId="0" fontId="9" numFmtId="0" xfId="0" applyFont="1"/>
    <xf borderId="0" fillId="0" fontId="91" numFmtId="1" xfId="0" applyAlignment="1" applyFont="1" applyNumberFormat="1">
      <alignment shrinkToFit="0" vertical="bottom" wrapText="0"/>
    </xf>
    <xf borderId="42" fillId="0" fontId="21" numFmtId="0" xfId="0" applyAlignment="1" applyBorder="1" applyFont="1">
      <alignment horizontal="left" readingOrder="0"/>
    </xf>
    <xf borderId="42" fillId="0" fontId="21" numFmtId="0" xfId="0" applyAlignment="1" applyBorder="1" applyFont="1">
      <alignment horizontal="center" readingOrder="0"/>
    </xf>
    <xf borderId="42" fillId="0" fontId="21" numFmtId="0" xfId="0" applyAlignment="1" applyBorder="1" applyFont="1">
      <alignment horizontal="center"/>
    </xf>
    <xf borderId="42" fillId="0" fontId="21" numFmtId="3" xfId="0" applyAlignment="1" applyBorder="1" applyFont="1" applyNumberFormat="1">
      <alignment horizontal="right" readingOrder="0"/>
    </xf>
    <xf borderId="43" fillId="0" fontId="9" numFmtId="0" xfId="0" applyAlignment="1" applyBorder="1" applyFont="1">
      <alignment readingOrder="0"/>
    </xf>
    <xf borderId="44" fillId="0" fontId="9" numFmtId="3" xfId="0" applyAlignment="1" applyBorder="1" applyFont="1" applyNumberFormat="1">
      <alignment horizontal="right"/>
    </xf>
    <xf borderId="0" fillId="0" fontId="9" numFmtId="168" xfId="0" applyAlignment="1" applyFont="1" applyNumberFormat="1">
      <alignment readingOrder="0"/>
    </xf>
  </cellXfs>
  <cellStyles count="1">
    <cellStyle xfId="0" name="Normal" builtinId="0"/>
  </cellStyles>
  <dxfs count="25">
    <dxf>
      <font>
        <strike/>
        <color rgb="FF8C93A0"/>
      </font>
      <fill>
        <patternFill patternType="solid">
          <fgColor rgb="FFF4F6F8"/>
          <bgColor rgb="FFF4F6F8"/>
        </patternFill>
      </fill>
      <border/>
    </dxf>
    <dxf>
      <font>
        <b/>
        <color rgb="FFD32F2F"/>
      </font>
      <fill>
        <patternFill patternType="none"/>
      </fill>
      <border/>
    </dxf>
    <dxf>
      <font/>
      <fill>
        <patternFill patternType="solid">
          <fgColor rgb="FFFFD54F"/>
          <bgColor rgb="FFFFD54F"/>
        </patternFill>
      </fill>
      <border/>
    </dxf>
    <dxf>
      <font/>
      <fill>
        <patternFill patternType="solid">
          <fgColor rgb="FFCBEBDD"/>
          <bgColor rgb="FFCBEBDD"/>
        </patternFill>
      </fill>
      <border/>
    </dxf>
    <dxf>
      <font>
        <strike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C4211E"/>
      </font>
      <fill>
        <patternFill patternType="solid">
          <fgColor rgb="FFFCE8E6"/>
          <bgColor rgb="FFFCE8E6"/>
        </patternFill>
      </fill>
      <border/>
    </dxf>
    <dxf>
      <font>
        <b/>
        <color rgb="FFC05A0D"/>
      </font>
      <fill>
        <patternFill patternType="solid">
          <fgColor rgb="FFFDEFDF"/>
          <bgColor rgb="FFFDEFDF"/>
        </patternFill>
      </fill>
      <border/>
    </dxf>
    <dxf>
      <font>
        <color rgb="FFBDBDBD"/>
      </font>
      <fill>
        <patternFill patternType="solid">
          <fgColor rgb="FFF5F6F8"/>
          <bgColor rgb="FFF5F6F8"/>
        </patternFill>
      </fill>
      <border/>
    </dxf>
    <dxf>
      <font/>
      <fill>
        <patternFill patternType="solid">
          <fgColor rgb="FFFBD3B5"/>
          <bgColor rgb="FFFBD3B5"/>
        </patternFill>
      </fill>
      <border/>
    </dxf>
    <dxf>
      <font/>
      <fill>
        <patternFill patternType="solid">
          <fgColor rgb="FFF8C8D0"/>
          <bgColor rgb="FFF8C8D0"/>
        </patternFill>
      </fill>
      <border/>
    </dxf>
    <dxf>
      <font>
        <b/>
        <color rgb="FFCC1919"/>
      </font>
      <fill>
        <patternFill patternType="solid">
          <fgColor rgb="FFFFD9D9"/>
          <bgColor rgb="FFFFD9D9"/>
        </patternFill>
      </fill>
      <border/>
    </dxf>
    <dxf>
      <font>
        <strike/>
        <color rgb="FF9E9E9E"/>
      </font>
      <fill>
        <patternFill patternType="solid">
          <fgColor rgb="FFF3F3F3"/>
          <bgColor rgb="FFF3F3F3"/>
        </patternFill>
      </fill>
      <border/>
    </dxf>
    <dxf>
      <font>
        <b/>
        <color rgb="FFCC1919"/>
      </font>
      <fill>
        <patternFill patternType="solid">
          <fgColor rgb="FFFFCCCC"/>
          <bgColor rgb="FFFFCCCC"/>
        </patternFill>
      </fill>
      <border/>
    </dxf>
    <dxf>
      <font>
        <b/>
        <color rgb="FFC5211F"/>
      </font>
      <fill>
        <patternFill patternType="solid">
          <fgColor rgb="FFFCE8E6"/>
          <bgColor rgb="FFFCE8E6"/>
        </patternFill>
      </fill>
      <border/>
    </dxf>
    <dxf>
      <font>
        <b/>
        <color rgb="FFB36800"/>
      </font>
      <fill>
        <patternFill patternType="solid">
          <fgColor rgb="FFFEF7E0"/>
          <bgColor rgb="FFFEF7E0"/>
        </patternFill>
      </fill>
      <border/>
    </dxf>
    <dxf>
      <font>
        <b/>
        <color rgb="FFD32F2F"/>
        <name val="Arial"/>
      </font>
      <fill>
        <patternFill patternType="none"/>
      </fill>
      <border/>
    </dxf>
    <dxf>
      <font>
        <color rgb="FFBDBDBD"/>
        <name val="Arial"/>
      </font>
      <fill>
        <patternFill patternType="none"/>
      </fill>
      <border/>
    </dxf>
    <dxf>
      <font>
        <b/>
        <color rgb="FFC4221F"/>
      </font>
      <fill>
        <patternFill patternType="solid">
          <fgColor rgb="FFFCE8E6"/>
          <bgColor rgb="FFFCE8E6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BFE6D3"/>
          <bgColor rgb="FFBFE6D3"/>
        </patternFill>
      </fill>
      <border/>
    </dxf>
    <dxf>
      <font/>
      <fill>
        <patternFill patternType="solid">
          <fgColor rgb="FFF4A6B8"/>
          <bgColor rgb="FFF4A6B8"/>
        </patternFill>
      </fill>
      <border/>
    </dxf>
    <dxf>
      <font/>
      <fill>
        <patternFill patternType="solid">
          <fgColor rgb="FFFFE9A0"/>
          <bgColor rgb="FFFFE9A0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  <dxf>
      <font>
        <b/>
        <color rgb="FFFFFFFF"/>
        <name val="Arial"/>
      </font>
      <fill>
        <patternFill patternType="solid">
          <fgColor rgb="FFFF0000"/>
          <bgColor rgb="FFFF0000"/>
        </patternFill>
      </fill>
      <border/>
    </dxf>
    <dxf>
      <font>
        <b/>
        <color rgb="FF1E293A"/>
      </font>
      <fill>
        <patternFill patternType="solid">
          <fgColor rgb="FFFFF2BF"/>
          <bgColor rgb="FFFFF2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Trạng thái bài tập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8B4C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BC8A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5C2EC"/>
              </a:solidFill>
              <a:ln cmpd="sng">
                <a:noFill/>
              </a:ln>
            </c:spPr>
          </c:dPt>
          <c:cat>
            <c:strRef>
              <c:f>'Dữ liệu'!$D$4:$D$6</c:f>
            </c:strRef>
          </c:cat>
          <c:val>
            <c:numRef>
              <c:f>'Dữ liệu'!$E$4:$E$6</c:f>
              <c:numCache/>
            </c:numRef>
          </c:val>
        </c:ser>
        <c:axId val="1212591749"/>
        <c:axId val="432417199"/>
      </c:barChart>
      <c:catAx>
        <c:axId val="1212591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2417199"/>
      </c:catAx>
      <c:valAx>
        <c:axId val="432417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2591749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Calibri"/>
              </a:defRPr>
            </a:pPr>
            <a:r>
              <a:rPr b="1" sz="1800">
                <a:solidFill>
                  <a:srgbClr val="757575"/>
                </a:solidFill>
                <a:latin typeface="Calibri"/>
              </a:rPr>
              <a:t>Bài tập theo môn học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'Dữ liệu'!$A$4:$A$9</c:f>
            </c:strRef>
          </c:cat>
          <c:val>
            <c:numRef>
              <c:f>'Dữ liệu'!$B$4:$B$9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Tiến độ bài tập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8B4C0"/>
              </a:solidFill>
            </c:spPr>
          </c:dPt>
          <c:dPt>
            <c:idx val="1"/>
            <c:spPr>
              <a:solidFill>
                <a:srgbClr val="FBC8A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'Dữ liệu'!$P$4:$P$5</c:f>
            </c:strRef>
          </c:cat>
          <c:val>
            <c:numRef>
              <c:f>'Dữ liệu'!$Q$4:$Q$5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Phân bổ điểm số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8B4C0"/>
              </a:solidFill>
            </c:spPr>
          </c:dPt>
          <c:dPt>
            <c:idx val="1"/>
            <c:spPr>
              <a:solidFill>
                <a:srgbClr val="FBC8A0"/>
              </a:solidFill>
            </c:spPr>
          </c:dPt>
          <c:dPt>
            <c:idx val="2"/>
            <c:spPr>
              <a:solidFill>
                <a:srgbClr val="D5C2EC"/>
              </a:solidFill>
            </c:spPr>
          </c:dPt>
          <c:dPt>
            <c:idx val="3"/>
            <c:spPr>
              <a:solidFill>
                <a:srgbClr val="A9C6F2"/>
              </a:solidFill>
            </c:spPr>
          </c:dPt>
          <c:dPt>
            <c:idx val="4"/>
            <c:spPr>
              <a:solidFill>
                <a:srgbClr val="BFE6D3"/>
              </a:solidFill>
            </c:spPr>
          </c:dPt>
          <c:dPt>
            <c:idx val="5"/>
            <c:spPr>
              <a:solidFill>
                <a:srgbClr val="FFE9A0"/>
              </a:solidFill>
            </c:spPr>
          </c:dPt>
          <c:dPt>
            <c:idx val="6"/>
            <c:spPr>
              <a:solidFill>
                <a:srgbClr val="F4A6B8"/>
              </a:solidFill>
            </c:spPr>
          </c:dPt>
          <c:dPt>
            <c:idx val="7"/>
            <c:spPr>
              <a:solidFill>
                <a:srgbClr val="C9B6E4"/>
              </a:solidFill>
            </c:spPr>
          </c:dPt>
          <c:dPt>
            <c:idx val="8"/>
            <c:spPr>
              <a:solidFill>
                <a:srgbClr val="9FD8C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'Dữ liệu'!$G$4:$G$12</c:f>
            </c:strRef>
          </c:cat>
          <c:val>
            <c:numRef>
              <c:f>'Dữ liệu'!$H$4:$H$12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PHÂN TÍCH THỜI LƯỢNG HỌC TẬP &amp; KỸ NĂNG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'Dữ liệu'!$K$3</c:f>
            </c:strRef>
          </c:tx>
          <c:spPr>
            <a:solidFill>
              <a:srgbClr val="1A73E8"/>
            </a:solidFill>
            <a:ln cmpd="sng">
              <a:noFill/>
            </a:ln>
          </c:spPr>
          <c:invertIfNegative val="0"/>
          <c:cat>
            <c:strRef>
              <c:f>'Dữ liệu'!$J$4:$J$12</c:f>
            </c:strRef>
          </c:cat>
          <c:val>
            <c:numRef>
              <c:f>'Dữ liệu'!$K$4:$K$12</c:f>
              <c:numCache/>
            </c:numRef>
          </c:val>
        </c:ser>
        <c:axId val="440325729"/>
        <c:axId val="1790270669"/>
      </c:barChart>
      <c:catAx>
        <c:axId val="4403257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Phân loại / Kỹ năng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270669"/>
      </c:catAx>
      <c:valAx>
        <c:axId val="17902706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Thời lượng (phút)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325729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Trạng thái bài tập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8B4C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BC8A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5C2EC"/>
              </a:solidFill>
              <a:ln cmpd="sng">
                <a:noFill/>
              </a:ln>
            </c:spPr>
          </c:dPt>
          <c:cat>
            <c:strRef>
              <c:f>'Dữ liệu'!$D$4:$D$6</c:f>
            </c:strRef>
          </c:cat>
          <c:val>
            <c:numRef>
              <c:f>'Dữ liệu'!$E$4:$E$6</c:f>
              <c:numCache/>
            </c:numRef>
          </c:val>
        </c:ser>
        <c:axId val="1464252625"/>
        <c:axId val="1828494758"/>
      </c:barChart>
      <c:catAx>
        <c:axId val="1464252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8494758"/>
      </c:catAx>
      <c:valAx>
        <c:axId val="1828494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4252625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Calibri"/>
              </a:defRPr>
            </a:pPr>
            <a:r>
              <a:rPr b="1" sz="1800">
                <a:solidFill>
                  <a:srgbClr val="757575"/>
                </a:solidFill>
                <a:latin typeface="Calibri"/>
              </a:rPr>
              <a:t>Bài tập theo môn học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'Dữ liệu'!$A$4:$A$9</c:f>
            </c:strRef>
          </c:cat>
          <c:val>
            <c:numRef>
              <c:f>'Dữ liệu'!$B$4:$B$9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Phân bổ điểm số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8B4C0"/>
              </a:solidFill>
            </c:spPr>
          </c:dPt>
          <c:dPt>
            <c:idx val="1"/>
            <c:spPr>
              <a:solidFill>
                <a:srgbClr val="FBC8A0"/>
              </a:solidFill>
            </c:spPr>
          </c:dPt>
          <c:dPt>
            <c:idx val="2"/>
            <c:spPr>
              <a:solidFill>
                <a:srgbClr val="D5C2EC"/>
              </a:solidFill>
            </c:spPr>
          </c:dPt>
          <c:dPt>
            <c:idx val="3"/>
            <c:spPr>
              <a:solidFill>
                <a:srgbClr val="A9C6F2"/>
              </a:solidFill>
            </c:spPr>
          </c:dPt>
          <c:dPt>
            <c:idx val="4"/>
            <c:spPr>
              <a:solidFill>
                <a:srgbClr val="BFE6D3"/>
              </a:solidFill>
            </c:spPr>
          </c:dPt>
          <c:dPt>
            <c:idx val="5"/>
            <c:spPr>
              <a:solidFill>
                <a:srgbClr val="FFE9A0"/>
              </a:solidFill>
            </c:spPr>
          </c:dPt>
          <c:dPt>
            <c:idx val="6"/>
            <c:spPr>
              <a:solidFill>
                <a:srgbClr val="F4A6B8"/>
              </a:solidFill>
            </c:spPr>
          </c:dPt>
          <c:dPt>
            <c:idx val="7"/>
            <c:spPr>
              <a:solidFill>
                <a:srgbClr val="C9B6E4"/>
              </a:solidFill>
            </c:spPr>
          </c:dPt>
          <c:dPt>
            <c:idx val="8"/>
            <c:spPr>
              <a:solidFill>
                <a:srgbClr val="9FD8C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'Dữ liệu'!$G$4:$G$12</c:f>
            </c:strRef>
          </c:cat>
          <c:val>
            <c:numRef>
              <c:f>'Dữ liệu'!$H$4:$H$12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Năng suất hàng ngày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Năng suất</c:v>
          </c:tx>
          <c:spPr>
            <a:ln cmpd="sng" w="19050">
              <a:solidFill>
                <a:srgbClr val="F0A6B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'Habit Tracker'!$B$24:$AF$24</c:f>
            </c:strRef>
          </c:cat>
          <c:val>
            <c:numRef>
              <c:f>'Habit Tracker'!$B$6:$AF$6</c:f>
              <c:numCache/>
            </c:numRef>
          </c:val>
          <c:smooth val="1"/>
        </c:ser>
        <c:axId val="950411902"/>
        <c:axId val="782999288"/>
      </c:lineChart>
      <c:catAx>
        <c:axId val="950411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2999288"/>
      </c:catAx>
      <c:valAx>
        <c:axId val="782999288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0411902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28</xdr:row>
      <xdr:rowOff>152400</xdr:rowOff>
    </xdr:from>
    <xdr:ext cx="4191000" cy="2667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28</xdr:row>
      <xdr:rowOff>152400</xdr:rowOff>
    </xdr:from>
    <xdr:ext cx="4191000" cy="2667000"/>
    <xdr:graphicFrame>
      <xdr:nvGraphicFramePr>
        <xdr:cNvPr id="3" name="Chart 3" title="Bài tập theo môn họ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43</xdr:row>
      <xdr:rowOff>152400</xdr:rowOff>
    </xdr:from>
    <xdr:ext cx="4191000" cy="26670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0</xdr:colOff>
      <xdr:row>43</xdr:row>
      <xdr:rowOff>152400</xdr:rowOff>
    </xdr:from>
    <xdr:ext cx="4191000" cy="26670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0</xdr:rowOff>
    </xdr:from>
    <xdr:ext cx="8334375" cy="3048000"/>
    <xdr:graphicFrame>
      <xdr:nvGraphicFramePr>
        <xdr:cNvPr id="1" name="Chart 1" title="PHÂN TÍCH THỜI LƯỢNG HỌC TẬP &amp; KỸ NĂ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47625</xdr:rowOff>
    </xdr:from>
    <xdr:ext cx="3514725" cy="2638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36</xdr:row>
      <xdr:rowOff>47625</xdr:rowOff>
    </xdr:from>
    <xdr:ext cx="3409950" cy="2638425"/>
    <xdr:graphicFrame>
      <xdr:nvGraphicFramePr>
        <xdr:cNvPr id="7" name="Chart 7" title="Bài tập theo môn họ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47625</xdr:rowOff>
    </xdr:from>
    <xdr:ext cx="3505200" cy="26384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8915400" cy="26384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5151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.0"/>
    <col customWidth="1" min="3" max="14" width="13.0"/>
    <col customWidth="1" min="15" max="26" width="8.71"/>
  </cols>
  <sheetData>
    <row r="1" ht="30.0" customHeight="1">
      <c r="A1" s="76" t="s">
        <v>131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80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82" t="s">
        <v>135</v>
      </c>
      <c r="B3" s="7"/>
      <c r="C3" s="83" t="s">
        <v>136</v>
      </c>
      <c r="D3" s="16"/>
      <c r="E3" s="83" t="s">
        <v>18</v>
      </c>
      <c r="F3" s="16"/>
      <c r="G3" s="83" t="s">
        <v>20</v>
      </c>
      <c r="H3" s="16"/>
      <c r="I3" s="83" t="s">
        <v>21</v>
      </c>
      <c r="J3" s="16"/>
      <c r="K3" s="83" t="s">
        <v>137</v>
      </c>
      <c r="L3" s="15"/>
      <c r="M3" s="15"/>
      <c r="N3" s="1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84" t="str">
        <f>HYPERLINK("#gid=2127813405","Hướng dẫn")</f>
        <v>Hướng dẫn</v>
      </c>
      <c r="B4" s="7"/>
      <c r="C4" s="85" t="str">
        <f>CHOOSE(WEEKDAY(TODAY(),2),"Thứ Hai","Thứ Ba","Thứ Tư","Thứ Năm","Thứ Sáu","Thứ Bảy","Chủ Nhật")</f>
        <v>Chủ Nhật</v>
      </c>
      <c r="D4" s="16"/>
      <c r="E4" s="88">
        <f>TODAY()</f>
        <v>46306</v>
      </c>
      <c r="F4" s="16"/>
      <c r="G4" s="88">
        <f>'Thông tin lớp học'!B3</f>
        <v>46258</v>
      </c>
      <c r="H4" s="16"/>
      <c r="I4" s="88">
        <f>'Thông tin lớp học'!B4</f>
        <v>46362</v>
      </c>
      <c r="J4" s="16"/>
      <c r="K4" s="85" t="str">
        <f>IF(TODAY()&lt;G4,"Chưa bắt đầu",IF(TODAY()&gt;I4,"Đã kết thúc","Tuần "&amp;MIN('Thông tin lớp học'!B5,INT((TODAY()-G4)/7)+1)&amp;" / "&amp;'Thông tin lớp học'!B5))</f>
        <v>Tuần 7 / 15</v>
      </c>
      <c r="L4" s="15"/>
      <c r="M4" s="15"/>
      <c r="N4" s="1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84" t="str">
        <f>HYPERLINK("#gid=178478100","Thông tin lớp học")</f>
        <v>Thông tin lớp học</v>
      </c>
      <c r="B5" s="7"/>
      <c r="C5" s="94" t="str">
        <f>"🎯 GPA DỰ KIẾN: " &amp; ROUND('Thông tin lớp học'!$D$26, 2) &amp; " / 4.0   |   Hệ 10: " &amp; ROUND('Thông tin lớp học'!$C$26, 2) &amp; "   •   " &amp; 'Thông tin lớp học'!$E$26</f>
        <v>🎯 GPA DỰ KIẾN: 3,6 / 4.0   |   Hệ 10: 8,17   •   Xuất sắc</v>
      </c>
      <c r="D5" s="95"/>
      <c r="E5" s="95"/>
      <c r="F5" s="95"/>
      <c r="G5" s="95"/>
      <c r="H5" s="95"/>
      <c r="I5" s="95"/>
      <c r="J5" s="96"/>
      <c r="K5" s="7" t="str">
        <f>IFERROR(__xludf.DUMMYFUNCTION("SPARKLINE(MIN(1, MAX(0, (TODAY()-'Thông tin lớp học'!$B$3)/('Thông tin lớp học'!$B$4-'Thông tin lớp học'!$B$3))), {""charttype"",""bar""; ""max"",1; ""color1"",""#1a73e8""})"),"")</f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84" t="str">
        <f>HYPERLINK("#gid=1916662489","Lịch học")</f>
        <v>Lịch học</v>
      </c>
      <c r="B6" s="7"/>
      <c r="C6" s="97" t="s">
        <v>148</v>
      </c>
      <c r="D6" s="16"/>
      <c r="E6" s="98" t="s">
        <v>149</v>
      </c>
      <c r="F6" s="16"/>
      <c r="G6" s="97" t="s">
        <v>150</v>
      </c>
      <c r="H6" s="16"/>
      <c r="I6" s="99" t="s">
        <v>151</v>
      </c>
      <c r="J6" s="16"/>
      <c r="K6" s="97" t="s">
        <v>152</v>
      </c>
      <c r="L6" s="16"/>
      <c r="M6" s="100" t="s">
        <v>153</v>
      </c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3.75" customHeight="1">
      <c r="A7" s="84" t="str">
        <f>HYPERLINK("#gid=906972626","Lịch tuần")</f>
        <v>Lịch tuần</v>
      </c>
      <c r="B7" s="7"/>
      <c r="C7" s="101">
        <f>'Bảng theo dõi bài tập'!D4</f>
        <v>6</v>
      </c>
      <c r="D7" s="16"/>
      <c r="E7" s="102">
        <f>'Bảng theo dõi bài tập'!F4</f>
        <v>3</v>
      </c>
      <c r="F7" s="16"/>
      <c r="G7" s="103">
        <f>'Danh sách việc cần làm'!D4</f>
        <v>5</v>
      </c>
      <c r="H7" s="104"/>
      <c r="I7" s="105">
        <f>'Bảng theo dõi chuyên cần'!E13</f>
        <v>0.9210526316</v>
      </c>
      <c r="J7" s="104"/>
      <c r="K7" s="106" t="str">
        <f t="array" ref="K7">IF(AND('Habit Tracker'!B3=YEAR(TODAY()),'Habit Tracker'!B4=MONTH(TODAY())),(COUNTIF(INDEX('Habit Tracker'!$B$26:$AF$40,0,DAY(TODAY())),TRUE)+COUNTIF(INDEX('Habit Tracker'!$B$26:$AF$40,0,DAY(TODAY())),"✔"))&amp;" / "&amp;COUNTA('Habit Tracker'!$A$26:$A$40),"–")</f>
        <v>0 / 12</v>
      </c>
      <c r="L7" s="104"/>
      <c r="M7" s="110">
        <f>'Quản lý giáo trình'!C3</f>
        <v>0.5833333333</v>
      </c>
      <c r="N7" s="10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84" t="str">
        <f>HYPERLINK("#gid=1884952073","Hoạt động")</f>
        <v>Hoạt động</v>
      </c>
      <c r="B8" s="7"/>
      <c r="C8" s="113" t="str">
        <f>IFERROR(__xludf.DUMMYFUNCTION("SPARKLINE(IF('Bảng theo dõi bài tập'!$B$4=0, 0, 'Bảng theo dõi bài tập'!$C$4/'Bảng theo dõi bài tập'!$B$4), {""charttype"",""bar""; ""max"",1; ""color1"",""#1a73e8""})"),"")</f>
        <v/>
      </c>
      <c r="D8" s="16"/>
      <c r="E8" s="115" t="str">
        <f>IF('Bảng theo dõi bài tập'!$G$4&gt;0, "Hạn gấp: " &amp; 'Bảng theo dõi bài tập'!$G$4 &amp; " bài", "✓ Đúng hạn")</f>
        <v>Hạn gấp: 1 bài</v>
      </c>
      <c r="F8" s="16"/>
      <c r="G8" s="113" t="str">
        <f>IFERROR(__xludf.DUMMYFUNCTION("SPARKLINE(IF('Danh sách việc cần làm'!$B$4=0, 0, 'Danh sách việc cần làm'!$C$4/'Danh sách việc cần làm'!$B$4), {""charttype"",""bar""; ""max"",1; ""color1"",""#1a73e8""})"),"")</f>
        <v/>
      </c>
      <c r="H8" s="16"/>
      <c r="I8" s="113" t="str">
        <f>IFERROR(__xludf.DUMMYFUNCTION("SPARKLINE('Bảng theo dõi chuyên cần'!$E$13, {""charttype"",""bar""; ""max"",1; ""color1"",""#059669""})"),"")</f>
        <v/>
      </c>
      <c r="J8" s="16"/>
      <c r="K8" s="113" t="str">
        <f>IFERROR(__xludf.DUMMYFUNCTION("SPARKLINE(IF(COUNTA('Habit Tracker'!$A$26:$A$40)=0, 0, (COUNTIF(INDEX('Habit Tracker'!$B$26:$AF$40, 0, DAY(TODAY())), TRUE) + COUNTIF(INDEX('Habit Tracker'!$B$26:$AF$40, 0, DAY(TODAY())), ""✔"")) / COUNTA('Habit Tracker'!$A$26:$A$40)), {""charttype"",""ba"&amp;"r""; ""max"",1; ""color1"",""#6246f0""})"),"")</f>
        <v/>
      </c>
      <c r="L8" s="16"/>
      <c r="M8" s="113" t="str">
        <f>IFERROR(__xludf.DUMMYFUNCTION("SPARKLINE(IF('Quản lý giáo trình'!$A$3=0, 0, 'Quản lý giáo trình'!$B$3/'Quản lý giáo trình'!$A$3), {""charttype"",""bar""; ""max"",1; ""color1"",""#059669""})"),"")</f>
        <v/>
      </c>
      <c r="N8" s="1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84" t="str">
        <f>HYPERLINK("#gid=849745244","Bảng theo dõi bài tập")</f>
        <v>Bảng theo dõi bài tập</v>
      </c>
      <c r="B9" s="7"/>
      <c r="C9" s="118" t="s">
        <v>161</v>
      </c>
      <c r="D9" s="15"/>
      <c r="E9" s="15"/>
      <c r="F9" s="16"/>
      <c r="G9" s="119" t="s">
        <v>162</v>
      </c>
      <c r="H9" s="120"/>
      <c r="I9" s="120"/>
      <c r="J9" s="120"/>
      <c r="K9" s="120"/>
      <c r="L9" s="120"/>
      <c r="M9" s="120"/>
      <c r="N9" s="121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4" t="str">
        <f>HYPERLINK("#gid=1203904754","Lịch bài tập")</f>
        <v>Lịch bài tập</v>
      </c>
      <c r="B10" s="7"/>
      <c r="C10" s="122" t="str">
        <f t="array" ref="C10">IFERROR(INDEX('Thông tin lớp học'!$G$10:$G$49,MATCH(1,'Thông tin lớp học'!$L$10:$L$49,0)),"Hôm nay không có lớp 🎉")</f>
        <v>Hôm nay không có lớp 🎉</v>
      </c>
      <c r="D10" s="16"/>
      <c r="E10" s="124" t="str">
        <f t="array" ref="E10">IFERROR(TEXT(INDEX('Thông tin lớp học'!$I$10:$I$49,MATCH(1,'Thông tin lớp học'!$L$10:$L$49,0)),"hh:mm")&amp;"–"&amp;TEXT(INDEX('Thông tin lớp học'!$J$10:$J$49,MATCH(1,'Thông tin lớp học'!$L$10:$L$49,0)),"hh:mm")&amp;" "&amp;INDEX('Thông tin lớp học'!$K$10:$K$49,MATCH(1,'Thông tin lớp học'!$L$10:$L$49,0)),"")</f>
        <v/>
      </c>
      <c r="F10" s="16"/>
      <c r="G10" s="125" t="str">
        <f t="array" ref="G10">IFERROR(INDEX('Bảng theo dõi bài tập'!$A$23:$A$72,MATCH(1,'Bảng theo dõi bài tập'!$K$23:$K$72,0))&amp;": "&amp;INDEX('Bảng theo dõi bài tập'!$B$23:$B$72,MATCH(1,'Bảng theo dõi bài tập'!$K$23:$K$72,0)),"Không có hạn nộp 🎉")</f>
        <v>Kỹ năng mềm: Thực hành thuyết trình nhóm</v>
      </c>
      <c r="H10" s="15"/>
      <c r="I10" s="15"/>
      <c r="J10" s="16"/>
      <c r="K10" s="126">
        <f t="array" ref="K10">IFERROR(INDEX('Bảng theo dõi bài tập'!$G$23:$G$72,MATCH(1,'Bảng theo dõi bài tập'!$K$23:$K$72,0)),"")</f>
        <v>46300</v>
      </c>
      <c r="L10" s="16"/>
      <c r="M10" s="124" t="str">
        <f t="shared" ref="M10:M15" si="1">IFERROR(IF(K10-TODAY()&lt;0,"Quá hạn "&amp;(TODAY()-K10)&amp;" ngày",IF(K10=TODAY(),"Hôm nay","Còn "&amp;(K10-TODAY())&amp;" ngày")),"")</f>
        <v>Quá hạn 6 ngày</v>
      </c>
      <c r="N10" s="1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4" t="str">
        <f>HYPERLINK("#gid=1921034169","Danh sách việc cần làm")</f>
        <v>Danh sách việc cần làm</v>
      </c>
      <c r="B11" s="7"/>
      <c r="C11" s="122" t="str">
        <f t="array" ref="C11">IFERROR(INDEX('Thông tin lớp học'!$G$10:$G$49,MATCH(2,'Thông tin lớp học'!$L$10:$L$49,0)),"")</f>
        <v/>
      </c>
      <c r="D11" s="16"/>
      <c r="E11" s="124" t="str">
        <f t="array" ref="E11">IFERROR(TEXT(INDEX('Thông tin lớp học'!$I$10:$I$49,MATCH(2,'Thông tin lớp học'!$L$10:$L$49,0)),"hh:mm")&amp;"–"&amp;TEXT(INDEX('Thông tin lớp học'!$J$10:$J$49,MATCH(2,'Thông tin lớp học'!$L$10:$L$49,0)),"hh:mm")&amp;" "&amp;INDEX('Thông tin lớp học'!$K$10:$K$49,MATCH(2,'Thông tin lớp học'!$L$10:$L$49,0)),"")</f>
        <v/>
      </c>
      <c r="F11" s="16"/>
      <c r="G11" s="125" t="str">
        <f t="array" ref="G11">IFERROR(INDEX('Bảng theo dõi bài tập'!$A$23:$A$72,MATCH(2,'Bảng theo dõi bài tập'!$K$23:$K$72,0))&amp;": "&amp;INDEX('Bảng theo dõi bài tập'!$B$23:$B$72,MATCH(2,'Bảng theo dõi bài tập'!$K$23:$K$72,0)),"")</f>
        <v>Toán cao cấp: Kiểm tra giữa kỳ tích phân</v>
      </c>
      <c r="H11" s="15"/>
      <c r="I11" s="15"/>
      <c r="J11" s="16"/>
      <c r="K11" s="126">
        <f t="array" ref="K11">IFERROR(INDEX('Bảng theo dõi bài tập'!$G$23:$G$72,MATCH(2,'Bảng theo dõi bài tập'!$K$23:$K$72,0)),"")</f>
        <v>46302</v>
      </c>
      <c r="L11" s="16"/>
      <c r="M11" s="124" t="str">
        <f t="shared" si="1"/>
        <v>Quá hạn 4 ngày</v>
      </c>
      <c r="N11" s="1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4" t="str">
        <f>HYPERLINK("#gid=992210349", "Nhật ký nhiệm vụ")</f>
        <v>Nhật ký nhiệm vụ</v>
      </c>
      <c r="B12" s="7"/>
      <c r="C12" s="122" t="str">
        <f t="array" ref="C12">IFERROR(INDEX('Thông tin lớp học'!$G$10:$G$49,MATCH(3,'Thông tin lớp học'!$L$10:$L$49,0)),"")</f>
        <v/>
      </c>
      <c r="D12" s="16"/>
      <c r="E12" s="124" t="str">
        <f t="array" ref="E12">IFERROR(TEXT(INDEX('Thông tin lớp học'!$I$10:$I$49,MATCH(3,'Thông tin lớp học'!$L$10:$L$49,0)),"hh:mm")&amp;"–"&amp;TEXT(INDEX('Thông tin lớp học'!$J$10:$J$49,MATCH(3,'Thông tin lớp học'!$L$10:$L$49,0)),"hh:mm")&amp;" "&amp;INDEX('Thông tin lớp học'!$K$10:$K$49,MATCH(3,'Thông tin lớp học'!$L$10:$L$49,0)),"")</f>
        <v/>
      </c>
      <c r="F12" s="16"/>
      <c r="G12" s="125" t="str">
        <f t="array" ref="G12">IFERROR(INDEX('Bảng theo dõi bài tập'!$A$23:$A$72,MATCH(3,'Bảng theo dõi bài tập'!$K$23:$K$72,0))&amp;": "&amp;INDEX('Bảng theo dõi bài tập'!$B$23:$B$72,MATCH(3,'Bảng theo dõi bài tập'!$K$23:$K$72,0)),"")</f>
        <v>Tiếng Anh giao tiếp: Bài tập viết thư thương mại</v>
      </c>
      <c r="H12" s="15"/>
      <c r="I12" s="15"/>
      <c r="J12" s="16"/>
      <c r="K12" s="126">
        <f t="array" ref="K12">IFERROR(INDEX('Bảng theo dõi bài tập'!$G$23:$G$72,MATCH(3,'Bảng theo dõi bài tập'!$K$23:$K$72,0)),"")</f>
        <v>46304</v>
      </c>
      <c r="L12" s="16"/>
      <c r="M12" s="124" t="str">
        <f t="shared" si="1"/>
        <v>Quá hạn 2 ngày</v>
      </c>
      <c r="N12" s="1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4" t="str">
        <f>HYPERLINK("#gid=192210349", "Kế hoạch ngày &amp; IELTS")</f>
        <v>Kế hoạch ngày &amp; IELTS</v>
      </c>
      <c r="B13" s="7"/>
      <c r="C13" s="122" t="str">
        <f t="array" ref="C13">IFERROR(INDEX('Thông tin lớp học'!$G$10:$G$49,MATCH(4,'Thông tin lớp học'!$L$10:$L$49,0)),"")</f>
        <v/>
      </c>
      <c r="D13" s="16"/>
      <c r="E13" s="124" t="str">
        <f t="array" ref="E13">IFERROR(TEXT(INDEX('Thông tin lớp học'!$I$10:$I$49,MATCH(4,'Thông tin lớp học'!$L$10:$L$49,0)),"hh:mm")&amp;"–"&amp;TEXT(INDEX('Thông tin lớp học'!$J$10:$J$49,MATCH(4,'Thông tin lớp học'!$L$10:$L$49,0)),"hh:mm")&amp;" "&amp;INDEX('Thông tin lớp học'!$K$10:$K$49,MATCH(4,'Thông tin lớp học'!$L$10:$L$49,0)),"")</f>
        <v/>
      </c>
      <c r="F13" s="16"/>
      <c r="G13" s="125" t="str">
        <f t="array" ref="G13">IFERROR(INDEX('Bảng theo dõi bài tập'!$A$23:$A$72,MATCH(4,'Bảng theo dõi bài tập'!$K$23:$K$72,0))&amp;": "&amp;INDEX('Bảng theo dõi bài tập'!$B$23:$B$72,MATCH(4,'Bảng theo dõi bài tập'!$K$23:$K$72,0)),"")</f>
        <v>Lập trình C++: Dự án quản lý sinh viên</v>
      </c>
      <c r="H13" s="15"/>
      <c r="I13" s="15"/>
      <c r="J13" s="16"/>
      <c r="K13" s="126">
        <f t="array" ref="K13">IFERROR(INDEX('Bảng theo dõi bài tập'!$G$23:$G$72,MATCH(4,'Bảng theo dõi bài tập'!$K$23:$K$72,0)),"")</f>
        <v>46307</v>
      </c>
      <c r="L13" s="16"/>
      <c r="M13" s="124" t="str">
        <f t="shared" si="1"/>
        <v>Còn 1 ngày</v>
      </c>
      <c r="N13" s="1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4" t="str">
        <f>HYPERLINK("#gid=1115800590","Bảng theo dõi chuyên cần")</f>
        <v>Bảng theo dõi chuyên cần</v>
      </c>
      <c r="B14" s="7"/>
      <c r="C14" s="122" t="str">
        <f t="array" ref="C14">IFERROR(INDEX('Thông tin lớp học'!$G$10:$G$49,MATCH(5,'Thông tin lớp học'!$L$10:$L$49,0)),"")</f>
        <v/>
      </c>
      <c r="D14" s="16"/>
      <c r="E14" s="124" t="str">
        <f t="array" ref="E14">IFERROR(TEXT(INDEX('Thông tin lớp học'!$I$10:$I$49,MATCH(5,'Thông tin lớp học'!$L$10:$L$49,0)),"hh:mm")&amp;"–"&amp;TEXT(INDEX('Thông tin lớp học'!$J$10:$J$49,MATCH(5,'Thông tin lớp học'!$L$10:$L$49,0)),"hh:mm")&amp;" "&amp;INDEX('Thông tin lớp học'!$K$10:$K$49,MATCH(5,'Thông tin lớp học'!$L$10:$L$49,0)),"")</f>
        <v/>
      </c>
      <c r="F14" s="16"/>
      <c r="G14" s="125" t="str">
        <f t="array" ref="G14">IFERROR(INDEX('Bảng theo dõi bài tập'!$A$23:$A$72,MATCH(5,'Bảng theo dõi bài tập'!$K$23:$K$72,0))&amp;": "&amp;INDEX('Bảng theo dõi bài tập'!$B$23:$B$72,MATCH(5,'Bảng theo dõi bài tập'!$K$23:$K$72,0)),"")</f>
        <v>Triết học Mác-Lênin: Kiểm tra trắc nghiệm chương 2</v>
      </c>
      <c r="H14" s="15"/>
      <c r="I14" s="15"/>
      <c r="J14" s="16"/>
      <c r="K14" s="126">
        <f t="array" ref="K14">IFERROR(INDEX('Bảng theo dõi bài tập'!$G$23:$G$72,MATCH(5,'Bảng theo dõi bài tập'!$K$23:$K$72,0)),"")</f>
        <v>46309</v>
      </c>
      <c r="L14" s="16"/>
      <c r="M14" s="124" t="str">
        <f t="shared" si="1"/>
        <v>Còn 3 ngày</v>
      </c>
      <c r="N14" s="1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4" t="str">
        <f>HYPERLINK("#gid=1072707331","Danh sách tài liệu đọc")</f>
        <v>Danh sách tài liệu đọc</v>
      </c>
      <c r="B15" s="7"/>
      <c r="C15" s="7"/>
      <c r="D15" s="7"/>
      <c r="E15" s="7"/>
      <c r="F15" s="7"/>
      <c r="G15" s="125" t="str">
        <f t="array" ref="G15">IFERROR(INDEX('Bảng theo dõi bài tập'!$A$23:$A$72,MATCH(6,'Bảng theo dõi bài tập'!$K$23:$K$72,0))&amp;": "&amp;INDEX('Bảng theo dõi bài tập'!$B$23:$B$72,MATCH(6,'Bảng theo dõi bài tập'!$K$23:$K$72,0)),"")</f>
        <v>Kỹ năng mềm: Dự án kế hoạch phát triển cá nhân</v>
      </c>
      <c r="H15" s="15"/>
      <c r="I15" s="15"/>
      <c r="J15" s="16"/>
      <c r="K15" s="126">
        <f t="array" ref="K15">IFERROR(INDEX('Bảng theo dõi bài tập'!$G$23:$G$72,MATCH(6,'Bảng theo dõi bài tập'!$K$23:$K$72,0)),"")</f>
        <v>46315</v>
      </c>
      <c r="L15" s="16"/>
      <c r="M15" s="124" t="str">
        <f t="shared" si="1"/>
        <v>Còn 9 ngày</v>
      </c>
      <c r="N15" s="1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4" t="str">
        <f>HYPERLINK("#gid=1772888216","Habit Tracker")</f>
        <v>Habit Tracker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127" t="str">
        <f>HYPERLINK("#gid=128822238","Quản lý giáo trình")</f>
        <v>Quản lý giáo trình</v>
      </c>
      <c r="B17" s="7"/>
      <c r="C17" s="118" t="s">
        <v>152</v>
      </c>
      <c r="D17" s="15"/>
      <c r="E17" s="15"/>
      <c r="F17" s="16"/>
      <c r="G17" s="128" t="s">
        <v>171</v>
      </c>
      <c r="H17" s="15"/>
      <c r="I17" s="15"/>
      <c r="J17" s="15"/>
      <c r="K17" s="15"/>
      <c r="L17" s="15"/>
      <c r="M17" s="15"/>
      <c r="N17" s="1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127" t="str">
        <f>HYPERLINK("#gid=2031529572","Dữ liệu")</f>
        <v>Dữ liệu</v>
      </c>
      <c r="B18" s="7"/>
      <c r="C18" s="125" t="str">
        <f>IF('Habit Tracker'!A26="","",'Habit Tracker'!A26)</f>
        <v>[Sức khỏe] Dậy sớm trước 7h sáng</v>
      </c>
      <c r="D18" s="15"/>
      <c r="E18" s="16"/>
      <c r="F18" s="131" t="str">
        <f t="array" ref="F18">IF(C18="","",IF(AND('Habit Tracker'!$B$3=YEAR(TODAY()),'Habit Tracker'!$B$4=MONTH(TODAY())),IF(OR(INDEX('Habit Tracker'!$B$26:$AF$40,1,DAY(TODAY()))="✔",INDEX('Habit Tracker'!$B$26:$AF$40,1,DAY(TODAY()))=TRUE),"✔","○"),"–"))</f>
        <v>○</v>
      </c>
      <c r="G18" s="133" t="s">
        <v>176</v>
      </c>
      <c r="H18" s="16"/>
      <c r="I18" s="135" t="s">
        <v>177</v>
      </c>
      <c r="J18" s="16"/>
      <c r="K18" s="136" t="s">
        <v>178</v>
      </c>
      <c r="L18" s="16"/>
      <c r="M18" s="138" t="s">
        <v>179</v>
      </c>
      <c r="N18" s="1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125" t="str">
        <f>IF('Habit Tracker'!A27="","",'Habit Tracker'!A27)</f>
        <v>[Sức khỏe] Uống đủ 2 lít nước</v>
      </c>
      <c r="D19" s="15"/>
      <c r="E19" s="16"/>
      <c r="F19" s="131" t="str">
        <f t="array" ref="F19">IF(C19="","",IF(AND('Habit Tracker'!$B$3=YEAR(TODAY()),'Habit Tracker'!$B$4=MONTH(TODAY())),IF(OR(INDEX('Habit Tracker'!$B$26:$AF$40,2,DAY(TODAY()))="✔",INDEX('Habit Tracker'!$B$26:$AF$40,2,DAY(TODAY()))=TRUE),"✔","○"),"–"))</f>
        <v>○</v>
      </c>
      <c r="G19" s="139">
        <f>COUNTIF('Nhật ký nhiệm vụ'!$B$7:$B$991, TODAY())</f>
        <v>0</v>
      </c>
      <c r="H19" s="16"/>
      <c r="I19" s="142">
        <f>IF(COUNTIF('Nhật ký nhiệm vụ'!$B$7:$B$991, TODAY())=0, 0, COUNTIFS('Nhật ký nhiệm vụ'!$B$7:$B$991, TODAY(), 'Nhật ký nhiệm vụ'!$C$7:$C$991, TRUE)/COUNTIF('Nhật ký nhiệm vụ'!$B$7:$B$991, TODAY()))</f>
        <v>0</v>
      </c>
      <c r="J19" s="16"/>
      <c r="K19" s="143" t="str">
        <f>TEXT(SUMIFS('Nhật ký nhiệm vụ'!$J$7:$J$991, 'Nhật ký nhiệm vụ'!$B$7:$B$991, TODAY()), "#,##0") &amp; " phút"</f>
        <v>0 phút</v>
      </c>
      <c r="L19" s="16"/>
      <c r="M19" s="144" t="str">
        <f>"Band " &amp; 'Kế hoạch ngày &amp; IELTS'!$K$3</f>
        <v>Band 7,1</v>
      </c>
      <c r="N19" s="1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125" t="str">
        <f>IF('Habit Tracker'!A28="","",'Habit Tracker'!A28)</f>
        <v>[Sức khỏe] Tập thể dục 30 phút</v>
      </c>
      <c r="D20" s="15"/>
      <c r="E20" s="16"/>
      <c r="F20" s="131" t="str">
        <f t="array" ref="F20">IF(C20="","",IF(AND('Habit Tracker'!$B$3=YEAR(TODAY()),'Habit Tracker'!$B$4=MONTH(TODAY())),IF(OR(INDEX('Habit Tracker'!$B$26:$AF$40,3,DAY(TODAY()))="✔",INDEX('Habit Tracker'!$B$26:$AF$40,3,DAY(TODAY()))=TRUE),"✔","○"),"–"))</f>
        <v>○</v>
      </c>
      <c r="G20" s="145" t="str">
        <f>IFERROR(__xludf.DUMMYFUNCTION("SPARKLINE(IF(COUNTIF('Nhật ký nhiệm vụ'!$B$7:$B$991, TODAY())=0, 0, COUNTIFS('Nhật ký nhiệm vụ'!$B$7:$B$991, TODAY(), 'Nhật ký nhiệm vụ'!$C$7:$C$991, TRUE)/COUNTIF('Nhật ký nhiệm vụ'!$B$7:$B$991, TODAY())), {""charttype"",""bar""; ""max"",1; ""color1"","""&amp;"#2e7d32""})"),"")</f>
        <v/>
      </c>
      <c r="H20" s="15"/>
      <c r="I20" s="15"/>
      <c r="J20" s="16"/>
      <c r="K20" s="146" t="str">
        <f>"Đã xong " &amp; COUNTIFS('Nhật ký nhiệm vụ'!$B$7:$B$991, TODAY(), 'Nhật ký nhiệm vụ'!$C$7:$C$991, TRUE) &amp; "/" &amp; COUNTIF('Nhật ký nhiệm vụ'!$B$7:$B$991, TODAY()) &amp; " việc • " &amp; TEXT(SUMIFS('Nhật ký nhiệm vụ'!$J$7:$J$991, 'Nhật ký nhiệm vụ'!$B$7:$B$991, TODAY(), 'Nhật ký nhiệm vụ'!$C$7:$C$991, TRUE), "#,##0") &amp; " phút hoàn tất"</f>
        <v>Đã xong 0/0 việc • 0 phút hoàn tất</v>
      </c>
      <c r="L20" s="15"/>
      <c r="M20" s="15"/>
      <c r="N20" s="1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125" t="str">
        <f>IF('Habit Tracker'!A29="","",'Habit Tracker'!A29)</f>
        <v>[Sức khỏe] Ngủ đủ 7-8 tiếng</v>
      </c>
      <c r="D21" s="15"/>
      <c r="E21" s="16"/>
      <c r="F21" s="131" t="str">
        <f t="array" ref="F21">IF(C21="","",IF(AND('Habit Tracker'!$B$3=YEAR(TODAY()),'Habit Tracker'!$B$4=MONTH(TODAY())),IF(OR(INDEX('Habit Tracker'!$B$26:$AF$40,4,DAY(TODAY()))="✔",INDEX('Habit Tracker'!$B$26:$AF$40,4,DAY(TODAY()))=TRUE),"✔","○"),"–"))</f>
        <v>○</v>
      </c>
      <c r="G21" s="147" t="s">
        <v>181</v>
      </c>
      <c r="H21" s="15"/>
      <c r="I21" s="15"/>
      <c r="J21" s="16"/>
      <c r="K21" s="148" t="s">
        <v>182</v>
      </c>
      <c r="L21" s="15"/>
      <c r="M21" s="15"/>
      <c r="N21" s="1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125" t="str">
        <f>IF('Habit Tracker'!A30="","",'Habit Tracker'!A30)</f>
        <v>[Học tập] Đọc 15 trang sách</v>
      </c>
      <c r="D22" s="15"/>
      <c r="E22" s="16"/>
      <c r="F22" s="131" t="str">
        <f t="array" ref="F22">IF(C22="","",IF(AND('Habit Tracker'!$B$3=YEAR(TODAY()),'Habit Tracker'!$B$4=MONTH(TODAY())),IF(OR(INDEX('Habit Tracker'!$B$26:$AF$40,5,DAY(TODAY()))="✔",INDEX('Habit Tracker'!$B$26:$AF$40,5,DAY(TODAY()))=TRUE),"✔","○"),"–"))</f>
        <v>○</v>
      </c>
      <c r="G22" s="149" t="s">
        <v>183</v>
      </c>
      <c r="H22" s="16"/>
      <c r="I22" s="149" t="s">
        <v>184</v>
      </c>
      <c r="J22" s="16"/>
      <c r="K22" s="152" t="str">
        <f t="array" ref="K22">IFERROR(INDEX('Nhật ký nhiệm vụ'!$H$7:$H$991, MATCH(TODAY(), 'Nhật ký nhiệm vụ'!$B$7:$B$991, 0)) &amp; " (" &amp; TEXT(INDEX('Nhật ký nhiệm vụ'!$D$7:$D$991, MATCH(TODAY(), 'Nhật ký nhiệm vụ'!$B$7:$B$991, 0)), "hh:mm") &amp; "–" &amp; TEXT(INDEX('Nhật ký nhiệm vụ'!$E$7:$E$991, MATCH(TODAY(), 'Nhật ký nhiệm vụ'!$B$7:$B$991, 0)), "hh:mm") &amp; ")", "Không có nhiệm vụ hôm nay 🎉")</f>
        <v>Không có nhiệm vụ hôm nay 🎉</v>
      </c>
      <c r="L22" s="15"/>
      <c r="M22" s="15"/>
      <c r="N22" s="1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125" t="str">
        <f>IF('Habit Tracker'!A31="","",'Habit Tracker'!A31)</f>
        <v>[Học tập] Học từ vựng tiếng Anh 15 phút</v>
      </c>
      <c r="D23" s="15"/>
      <c r="E23" s="16"/>
      <c r="F23" s="131" t="str">
        <f t="array" ref="F23">IF(C23="","",IF(AND('Habit Tracker'!$B$3=YEAR(TODAY()),'Habit Tracker'!$B$4=MONTH(TODAY())),IF(OR(INDEX('Habit Tracker'!$B$26:$AF$40,6,DAY(TODAY()))="✔",INDEX('Habit Tracker'!$B$26:$AF$40,6,DAY(TODAY()))=TRUE),"✔","○"),"–"))</f>
        <v>○</v>
      </c>
      <c r="G23" s="149" t="s">
        <v>185</v>
      </c>
      <c r="H23" s="16"/>
      <c r="I23" s="149" t="s">
        <v>186</v>
      </c>
      <c r="J23" s="16"/>
      <c r="K23" s="152" t="str">
        <f t="array" ref="K23">"Mục tiêu: " &amp; 'Kế hoạch ngày &amp; IELTS'!$M$3 &amp; " • Bài gần nhất: " &amp; INDEX('Kế hoạch ngày &amp; IELTS'!$J$7:$J$14, COUNTA('Kế hoạch ngày &amp; IELTS'!$J$7:$J$14)) &amp; " Band " &amp; INDEX('Kế hoạch ngày &amp; IELTS'!$M$7:$M$14, COUNTA('Kế hoạch ngày &amp; IELTS'!$M$7:$M$14))</f>
        <v>Mục tiêu: 7.5 Overall • Bài gần nhất: Speaking Band 7</v>
      </c>
      <c r="L23" s="15"/>
      <c r="M23" s="15"/>
      <c r="N23" s="1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125" t="str">
        <f>IF('Habit Tracker'!A32="","",'Habit Tracker'!A32)</f>
        <v>[Học tập] Ôn lại bài trên lớp</v>
      </c>
      <c r="D24" s="15"/>
      <c r="E24" s="16"/>
      <c r="F24" s="131" t="str">
        <f t="array" ref="F24">IF(C24="","",IF(AND('Habit Tracker'!$B$3=YEAR(TODAY()),'Habit Tracker'!$B$4=MONTH(TODAY())),IF(OR(INDEX('Habit Tracker'!$B$26:$AF$40,7,DAY(TODAY()))="✔",INDEX('Habit Tracker'!$B$26:$AF$40,7,DAY(TODAY()))=TRUE),"✔","○"),"–"))</f>
        <v>○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0" customHeight="1">
      <c r="A25" s="7"/>
      <c r="B25" s="7"/>
      <c r="C25" s="125" t="str">
        <f>IF('Habit Tracker'!A33="","",'Habit Tracker'!A33)</f>
        <v>[Học tập] Không dùng điện thoại trước khi ngủ</v>
      </c>
      <c r="D25" s="15"/>
      <c r="E25" s="16"/>
      <c r="F25" s="131" t="str">
        <f t="array" ref="F25">IF(C25="","",IF(AND('Habit Tracker'!$B$3=YEAR(TODAY()),'Habit Tracker'!$B$4=MONTH(TODAY())),IF(OR(INDEX('Habit Tracker'!$B$26:$AF$40,8,DAY(TODAY()))="✔",INDEX('Habit Tracker'!$B$26:$AF$40,8,DAY(TODAY()))=TRUE),"✔","○"),"–"))</f>
        <v>○</v>
      </c>
      <c r="G25" s="118" t="s">
        <v>187</v>
      </c>
      <c r="H25" s="15"/>
      <c r="I25" s="15"/>
      <c r="J25" s="15"/>
      <c r="K25" s="15"/>
      <c r="L25" s="15"/>
      <c r="M25" s="15"/>
      <c r="N25" s="1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0" customHeight="1">
      <c r="A26" s="7"/>
      <c r="B26" s="7"/>
      <c r="C26" s="125" t="str">
        <f>IF('Habit Tracker'!A34="","",'Habit Tracker'!A34)</f>
        <v>[Lối sống] Viết nhật ký &amp; Kế hoạch ngày mới</v>
      </c>
      <c r="D26" s="15"/>
      <c r="E26" s="16"/>
      <c r="F26" s="131" t="str">
        <f t="array" ref="F26">IF(C26="","",IF(AND('Habit Tracker'!$B$3=YEAR(TODAY()),'Habit Tracker'!$B$4=MONTH(TODAY())),IF(OR(INDEX('Habit Tracker'!$B$26:$AF$40,9,DAY(TODAY()))="✔",INDEX('Habit Tracker'!$B$26:$AF$40,9,DAY(TODAY()))=TRUE),"✔","○"),"–"))</f>
        <v>○</v>
      </c>
      <c r="G26" s="153" t="s">
        <v>188</v>
      </c>
      <c r="H26" s="16"/>
      <c r="I26" s="154" t="s">
        <v>189</v>
      </c>
      <c r="J26" s="16"/>
      <c r="K26" s="155" t="s">
        <v>190</v>
      </c>
      <c r="L26" s="16"/>
      <c r="M26" s="156" t="s">
        <v>191</v>
      </c>
      <c r="N26" s="1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125" t="str">
        <f>IF('Habit Tracker'!A35="","",'Habit Tracker'!A35)</f>
        <v>[Lối sống] Thiền / hít thở sâu 10 phút</v>
      </c>
      <c r="D27" s="15"/>
      <c r="E27" s="16"/>
      <c r="F27" s="131" t="str">
        <f t="array" ref="F27">IF(C27="","",IF(AND('Habit Tracker'!$B$3=YEAR(TODAY()),'Habit Tracker'!$B$4=MONTH(TODAY())),IF(OR(INDEX('Habit Tracker'!$B$26:$AF$40,10,DAY(TODAY()))="✔",INDEX('Habit Tracker'!$B$26:$AF$40,10,DAY(TODAY()))=TRUE),"✔","○"),"–"))</f>
        <v>○</v>
      </c>
      <c r="G27" s="157">
        <f>'Bảng theo dõi chuyên cần'!B13</f>
        <v>32</v>
      </c>
      <c r="H27" s="16"/>
      <c r="I27" s="157">
        <f>'Bảng theo dõi chuyên cần'!C13</f>
        <v>3</v>
      </c>
      <c r="J27" s="16"/>
      <c r="K27" s="157">
        <f>'Bảng theo dõi chuyên cần'!D13</f>
        <v>3</v>
      </c>
      <c r="L27" s="16"/>
      <c r="M27" s="158">
        <f>'Bảng theo dõi chuyên cần'!E13</f>
        <v>0.9210526316</v>
      </c>
      <c r="N27" s="1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159" t="str">
        <f>IF('Habit Tracker'!A36="","",'Habit Tracker'!A36)</f>
        <v>[Lối sống] Ăn đủ 3 bữa / không bỏ bữa</v>
      </c>
      <c r="D28" s="15"/>
      <c r="E28" s="16"/>
      <c r="F28" s="160" t="str">
        <f t="array" ref="F28">IF(C28="","",IF(AND('Habit Tracker'!$B$3=YEAR(TODAY()),'Habit Tracker'!$B$4=MONTH(TODAY())),IF(OR(INDEX('Habit Tracker'!$B$26:$AF$40,11,DAY(TODAY()))="✔",INDEX('Habit Tracker'!$B$26:$AF$40,11,DAY(TODAY()))=TRUE),"✔","○"),"–"))</f>
        <v>○</v>
      </c>
      <c r="G28" s="161" t="str">
        <f>IF('Bảng theo dõi chuyên cần'!$D$4="✅ An toàn", "Đánh giá: ✅ Chuyên cần tốt (Tất cả các môn ≥ 80%)", "Đánh giá: " &amp; 'Bảng theo dõi chuyên cần'!$D$4)</f>
        <v>Đánh giá: ⚠️ Tiếng Anh giao tiếp: 67% (&lt; 80%)</v>
      </c>
      <c r="H28" s="15"/>
      <c r="I28" s="15"/>
      <c r="J28" s="15"/>
      <c r="K28" s="15"/>
      <c r="L28" s="15"/>
      <c r="M28" s="15"/>
      <c r="N28" s="1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7"/>
      <c r="B29" s="7"/>
      <c r="C29" s="162"/>
      <c r="D29" s="163"/>
      <c r="E29" s="163"/>
      <c r="F29" s="163"/>
      <c r="G29" s="164"/>
      <c r="H29" s="164"/>
      <c r="I29" s="164"/>
      <c r="J29" s="164"/>
      <c r="K29" s="164"/>
      <c r="L29" s="164"/>
      <c r="M29" s="164"/>
      <c r="N29" s="16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I4:J4"/>
    <mergeCell ref="K4:N4"/>
    <mergeCell ref="K5:N5"/>
    <mergeCell ref="K6:L6"/>
    <mergeCell ref="M6:N6"/>
    <mergeCell ref="A1:N1"/>
    <mergeCell ref="C3:D3"/>
    <mergeCell ref="E3:F3"/>
    <mergeCell ref="G3:H3"/>
    <mergeCell ref="I3:J3"/>
    <mergeCell ref="K3:N3"/>
    <mergeCell ref="C4:D4"/>
    <mergeCell ref="E4:F4"/>
    <mergeCell ref="G4:H4"/>
    <mergeCell ref="C5:J5"/>
    <mergeCell ref="C6:D6"/>
    <mergeCell ref="E6:F6"/>
    <mergeCell ref="G6:H6"/>
    <mergeCell ref="I6:J6"/>
    <mergeCell ref="I8:J8"/>
    <mergeCell ref="K8:L8"/>
    <mergeCell ref="M8:N8"/>
    <mergeCell ref="G9:N9"/>
    <mergeCell ref="C7:D7"/>
    <mergeCell ref="E7:F7"/>
    <mergeCell ref="G7:H7"/>
    <mergeCell ref="I7:J7"/>
    <mergeCell ref="K7:L7"/>
    <mergeCell ref="M7:N7"/>
    <mergeCell ref="C8:D8"/>
    <mergeCell ref="E12:F12"/>
    <mergeCell ref="G12:J12"/>
    <mergeCell ref="I22:J22"/>
    <mergeCell ref="K22:N22"/>
    <mergeCell ref="I19:J19"/>
    <mergeCell ref="K19:L19"/>
    <mergeCell ref="G20:J20"/>
    <mergeCell ref="K20:N20"/>
    <mergeCell ref="G21:J21"/>
    <mergeCell ref="K21:N21"/>
    <mergeCell ref="G22:H22"/>
    <mergeCell ref="C18:E18"/>
    <mergeCell ref="G18:H18"/>
    <mergeCell ref="I18:J18"/>
    <mergeCell ref="K18:L18"/>
    <mergeCell ref="M18:N18"/>
    <mergeCell ref="G19:H19"/>
    <mergeCell ref="M19:N19"/>
    <mergeCell ref="C19:E19"/>
    <mergeCell ref="C20:E20"/>
    <mergeCell ref="C21:E21"/>
    <mergeCell ref="C22:E22"/>
    <mergeCell ref="I23:J23"/>
    <mergeCell ref="K23:N23"/>
    <mergeCell ref="G25:N25"/>
    <mergeCell ref="E8:F8"/>
    <mergeCell ref="G8:H8"/>
    <mergeCell ref="C9:F9"/>
    <mergeCell ref="E10:F10"/>
    <mergeCell ref="G10:J10"/>
    <mergeCell ref="K10:L10"/>
    <mergeCell ref="M10:N10"/>
    <mergeCell ref="K12:L12"/>
    <mergeCell ref="M12:N12"/>
    <mergeCell ref="C10:D10"/>
    <mergeCell ref="C11:D11"/>
    <mergeCell ref="E11:F11"/>
    <mergeCell ref="G11:J11"/>
    <mergeCell ref="K11:L11"/>
    <mergeCell ref="M11:N11"/>
    <mergeCell ref="C12:D12"/>
    <mergeCell ref="C13:D13"/>
    <mergeCell ref="E13:F13"/>
    <mergeCell ref="G13:J13"/>
    <mergeCell ref="K13:L13"/>
    <mergeCell ref="M13:N13"/>
    <mergeCell ref="C14:D14"/>
    <mergeCell ref="E14:F14"/>
    <mergeCell ref="M14:N14"/>
    <mergeCell ref="G14:J14"/>
    <mergeCell ref="K14:L14"/>
    <mergeCell ref="G15:J15"/>
    <mergeCell ref="K15:L15"/>
    <mergeCell ref="M15:N15"/>
    <mergeCell ref="C17:F17"/>
    <mergeCell ref="G17:N17"/>
    <mergeCell ref="C23:E23"/>
    <mergeCell ref="C24:E24"/>
    <mergeCell ref="C25:E25"/>
    <mergeCell ref="C26:E26"/>
    <mergeCell ref="C27:E27"/>
    <mergeCell ref="C28:E28"/>
    <mergeCell ref="K27:L27"/>
    <mergeCell ref="M27:N27"/>
    <mergeCell ref="G23:H23"/>
    <mergeCell ref="G26:H26"/>
    <mergeCell ref="I26:J26"/>
    <mergeCell ref="K26:L26"/>
    <mergeCell ref="M26:N26"/>
    <mergeCell ref="G27:H27"/>
    <mergeCell ref="I27:J27"/>
    <mergeCell ref="G28:N28"/>
  </mergeCells>
  <conditionalFormatting sqref="M10:N15">
    <cfRule type="expression" dxfId="1" priority="1" stopIfTrue="1">
      <formula>LEFT(M10,3)="Quá"</formula>
    </cfRule>
  </conditionalFormatting>
  <conditionalFormatting sqref="M10:N15">
    <cfRule type="expression" dxfId="2" priority="2">
      <formula>M10="Hôm nay"</formula>
    </cfRule>
  </conditionalFormatting>
  <conditionalFormatting sqref="F18:F28">
    <cfRule type="expression" dxfId="3" priority="3" stopIfTrue="1">
      <formula>F18="✔"</formula>
    </cfRule>
  </conditionalFormatting>
  <hyperlinks>
    <hyperlink display="📋 Nhật ký nhiệm vụ" location="'Nhật ký nhiệm vụ'!A1" ref="G22"/>
    <hyperlink display="🎯 Kế hoạch &amp; IELTS" location="'Kế hoạch ngày &amp; IELTS'!A1" ref="I22"/>
    <hyperlink display="✅ Việc cần làm" location="'Danh sách việc cần làm'!A1" ref="G23"/>
    <hyperlink display="📅 Xem Lịch tuần" location="'Lịch tuần'!A1" ref="I23"/>
  </hyperlink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5151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57"/>
    <col customWidth="1" min="2" max="2" width="13.71"/>
    <col customWidth="1" min="3" max="3" width="15.86"/>
    <col customWidth="1" min="4" max="4" width="18.71"/>
    <col customWidth="1" min="5" max="5" width="40.14"/>
    <col customWidth="1" min="6" max="6" width="19.43"/>
    <col customWidth="1" min="7" max="7" width="18.0"/>
    <col customWidth="1" min="8" max="8" width="3.57"/>
    <col customWidth="1" min="9" max="9" width="14.43"/>
    <col customWidth="1" min="10" max="10" width="18.0"/>
    <col customWidth="1" min="11" max="12" width="26.57"/>
    <col customWidth="1" min="13" max="13" width="14.43"/>
    <col customWidth="1" min="14" max="14" width="51.57"/>
  </cols>
  <sheetData>
    <row r="1" ht="30.0" customHeight="1">
      <c r="B1" s="39" t="s">
        <v>52</v>
      </c>
      <c r="N1" s="43" t="s">
        <v>2</v>
      </c>
    </row>
    <row r="2" ht="18.0" customHeight="1">
      <c r="B2" s="44" t="s">
        <v>61</v>
      </c>
      <c r="C2" s="16"/>
      <c r="D2" s="44" t="s">
        <v>10</v>
      </c>
      <c r="E2" s="16"/>
      <c r="F2" s="44" t="s">
        <v>9</v>
      </c>
      <c r="G2" s="16"/>
      <c r="I2" s="44" t="s">
        <v>64</v>
      </c>
      <c r="J2" s="16"/>
      <c r="K2" s="44" t="s">
        <v>66</v>
      </c>
      <c r="L2" s="16"/>
      <c r="M2" s="44" t="s">
        <v>69</v>
      </c>
      <c r="N2" s="16"/>
    </row>
    <row r="3" ht="27.0" customHeight="1">
      <c r="B3" s="45">
        <f>TODAY()</f>
        <v>46306</v>
      </c>
      <c r="C3" s="16"/>
      <c r="D3" s="24">
        <f>SUMIFS('Nhật ký nhiệm vụ'!J:J, 'Nhật ký nhiệm vụ'!B:B, B3)</f>
        <v>0</v>
      </c>
      <c r="E3" s="16"/>
      <c r="F3" s="23">
        <f>IF(COUNTIFS('Nhật ký nhiệm vụ'!B:B, B3, 'Nhật ký nhiệm vụ'!H:H, "?*")=0, 0, COUNTIFS('Nhật ký nhiệm vụ'!B:B, B3, 'Nhật ký nhiệm vụ'!C:C, TRUE)/COUNTIFS('Nhật ký nhiệm vụ'!B:B, B3, 'Nhật ký nhiệm vụ'!H:H, "?*"))</f>
        <v>0</v>
      </c>
      <c r="G3" s="16"/>
      <c r="I3" s="46">
        <f>COUNTIF(J7:J20, "?*")</f>
        <v>8</v>
      </c>
      <c r="J3" s="16"/>
      <c r="K3" s="47">
        <f>IFERROR(ROUND(AVERAGE(M7:M20), 1), 7)</f>
        <v>7.1</v>
      </c>
      <c r="L3" s="16"/>
      <c r="M3" s="49" t="s">
        <v>77</v>
      </c>
      <c r="N3" s="16"/>
    </row>
    <row r="4" ht="16.5" customHeight="1">
      <c r="B4" s="50" t="str">
        <f>TEXT(TODAY(), "dddd")</f>
        <v>Chủ Nhật</v>
      </c>
      <c r="C4" s="16"/>
      <c r="D4" s="51" t="str">
        <f>"Đã xong: " &amp; TEXT(SUMIFS('Nhật ký nhiệm vụ'!J:J, 'Nhật ký nhiệm vụ'!B:B, B3, 'Nhật ký nhiệm vụ'!C:C, TRUE), "#,##0") &amp; " phút"</f>
        <v>Đã xong: 0 phút</v>
      </c>
      <c r="E4" s="16"/>
      <c r="F4" s="51" t="str">
        <f>"Đã xong " &amp; COUNTIFS('Nhật ký nhiệm vụ'!B:B, B3, 'Nhật ký nhiệm vụ'!C:C, TRUE) &amp; " / " &amp; COUNTIFS('Nhật ký nhiệm vụ'!B:B, B3, 'Nhật ký nhiệm vụ'!H:H, "?*") &amp; " việc"</f>
        <v>Đã xong 0 / 0 việc</v>
      </c>
      <c r="G4" s="16"/>
      <c r="I4" s="53" t="s">
        <v>82</v>
      </c>
      <c r="J4" s="16"/>
      <c r="K4" s="54" t="s">
        <v>83</v>
      </c>
      <c r="L4" s="16"/>
      <c r="M4" s="54" t="s">
        <v>84</v>
      </c>
      <c r="N4" s="16"/>
    </row>
    <row r="5" ht="12.0" customHeight="1"/>
    <row r="6" ht="24.0" customHeight="1">
      <c r="B6" s="5" t="s">
        <v>19</v>
      </c>
      <c r="C6" s="5" t="s">
        <v>85</v>
      </c>
      <c r="D6" s="5" t="s">
        <v>22</v>
      </c>
      <c r="E6" s="9" t="s">
        <v>24</v>
      </c>
      <c r="F6" s="5" t="s">
        <v>25</v>
      </c>
      <c r="G6" s="10" t="s">
        <v>26</v>
      </c>
      <c r="I6" s="5" t="s">
        <v>18</v>
      </c>
      <c r="J6" s="5" t="s">
        <v>86</v>
      </c>
      <c r="K6" s="9" t="s">
        <v>87</v>
      </c>
      <c r="L6" s="9" t="s">
        <v>88</v>
      </c>
      <c r="M6" s="10" t="s">
        <v>89</v>
      </c>
      <c r="N6" s="9" t="s">
        <v>90</v>
      </c>
    </row>
    <row r="7" ht="21.0" customHeight="1">
      <c r="B7" s="55" t="str">
        <f>IFERROR(__xludf.DUMMYFUNCTION("IFERROR(LET(data, FILTER('Nhật ký nhiệm vụ'!C7:J100, 'Nhật ký nhiệm vụ'!B7:B100=B3), HSTACK(MAP(CHOOSECOLS(data, 1), LAMBDA(c, IF(c=TRUE, ""✔"", ""—""))), MAP(CHOOSECOLS(data, 2), CHOOSECOLS(data, 3), LAMBDA(s, e, IF(OR(s="""", e=""""), """", TEXT(s, ""hh"&amp;":mm"") &amp; "" - "" &amp; TEXT(e, ""hh:mm"")))), CHOOSECOLS(data, 4, 6, 7, 8))), """")"),"")</f>
        <v/>
      </c>
      <c r="C7" s="56" t="str">
        <f>IFERROR(__xludf.DUMMYFUNCTION("""COMPUTED_VALUE"""),"")</f>
        <v/>
      </c>
      <c r="D7" s="56" t="str">
        <f>IFERROR(__xludf.DUMMYFUNCTION("""COMPUTED_VALUE"""),"")</f>
        <v/>
      </c>
      <c r="E7" s="58"/>
      <c r="F7" s="56"/>
      <c r="G7" s="59"/>
      <c r="I7" s="60" t="s">
        <v>94</v>
      </c>
      <c r="J7" s="56" t="s">
        <v>46</v>
      </c>
      <c r="K7" s="58" t="s">
        <v>95</v>
      </c>
      <c r="L7" s="58" t="s">
        <v>96</v>
      </c>
      <c r="M7" s="62">
        <v>7.5</v>
      </c>
      <c r="N7" s="63" t="s">
        <v>98</v>
      </c>
    </row>
    <row r="8" ht="21.0" customHeight="1">
      <c r="B8" s="56"/>
      <c r="C8" s="56"/>
      <c r="D8" s="56"/>
      <c r="E8" s="58"/>
      <c r="F8" s="56"/>
      <c r="G8" s="59"/>
      <c r="I8" s="60" t="s">
        <v>101</v>
      </c>
      <c r="J8" s="56" t="s">
        <v>102</v>
      </c>
      <c r="K8" s="58" t="s">
        <v>95</v>
      </c>
      <c r="L8" s="58" t="s">
        <v>103</v>
      </c>
      <c r="M8" s="62">
        <v>7.0</v>
      </c>
      <c r="N8" s="63" t="s">
        <v>104</v>
      </c>
    </row>
    <row r="9" ht="21.0" customHeight="1">
      <c r="B9" s="56"/>
      <c r="C9" s="56"/>
      <c r="D9" s="56"/>
      <c r="E9" s="58"/>
      <c r="F9" s="56"/>
      <c r="G9" s="59"/>
      <c r="I9" s="60" t="s">
        <v>105</v>
      </c>
      <c r="J9" s="56" t="s">
        <v>106</v>
      </c>
      <c r="K9" s="58" t="s">
        <v>107</v>
      </c>
      <c r="L9" s="58" t="s">
        <v>108</v>
      </c>
      <c r="M9" s="62">
        <v>6.5</v>
      </c>
      <c r="N9" s="63" t="s">
        <v>109</v>
      </c>
    </row>
    <row r="10" ht="21.0" customHeight="1">
      <c r="B10" s="55"/>
      <c r="C10" s="56"/>
      <c r="D10" s="56"/>
      <c r="E10" s="58"/>
      <c r="F10" s="56"/>
      <c r="G10" s="59"/>
      <c r="I10" s="60" t="s">
        <v>110</v>
      </c>
      <c r="J10" s="56" t="s">
        <v>111</v>
      </c>
      <c r="K10" s="58" t="s">
        <v>112</v>
      </c>
      <c r="L10" s="58" t="s">
        <v>113</v>
      </c>
      <c r="M10" s="62">
        <v>6.5</v>
      </c>
      <c r="N10" s="63" t="s">
        <v>114</v>
      </c>
    </row>
    <row r="11" ht="21.0" customHeight="1">
      <c r="B11" s="55"/>
      <c r="C11" s="56"/>
      <c r="D11" s="56"/>
      <c r="E11" s="58"/>
      <c r="F11" s="56"/>
      <c r="G11" s="59"/>
      <c r="I11" s="60" t="s">
        <v>115</v>
      </c>
      <c r="J11" s="56" t="s">
        <v>46</v>
      </c>
      <c r="K11" s="58" t="s">
        <v>116</v>
      </c>
      <c r="L11" s="58" t="s">
        <v>117</v>
      </c>
      <c r="M11" s="62">
        <v>8.0</v>
      </c>
      <c r="N11" s="63" t="s">
        <v>118</v>
      </c>
    </row>
    <row r="12" ht="21.0" customHeight="1">
      <c r="B12" s="55"/>
      <c r="C12" s="56"/>
      <c r="D12" s="56"/>
      <c r="E12" s="58"/>
      <c r="F12" s="56"/>
      <c r="G12" s="59"/>
      <c r="I12" s="60" t="s">
        <v>119</v>
      </c>
      <c r="J12" s="56" t="s">
        <v>106</v>
      </c>
      <c r="K12" s="58" t="s">
        <v>120</v>
      </c>
      <c r="L12" s="58" t="s">
        <v>121</v>
      </c>
      <c r="M12" s="62">
        <v>7.0</v>
      </c>
      <c r="N12" s="63" t="s">
        <v>122</v>
      </c>
    </row>
    <row r="13" ht="21.0" customHeight="1">
      <c r="B13" s="55"/>
      <c r="C13" s="56"/>
      <c r="D13" s="56"/>
      <c r="E13" s="58"/>
      <c r="F13" s="56"/>
      <c r="G13" s="59"/>
      <c r="I13" s="64">
        <v>46300.0</v>
      </c>
      <c r="J13" s="55" t="s">
        <v>106</v>
      </c>
      <c r="K13" s="65" t="s">
        <v>123</v>
      </c>
      <c r="L13" s="65" t="s">
        <v>124</v>
      </c>
      <c r="M13" s="62">
        <v>7.0</v>
      </c>
      <c r="N13" s="66" t="s">
        <v>125</v>
      </c>
    </row>
    <row r="14" ht="21.0" customHeight="1">
      <c r="B14" s="55"/>
      <c r="C14" s="56"/>
      <c r="D14" s="56"/>
      <c r="E14" s="58"/>
      <c r="F14" s="56"/>
      <c r="G14" s="59"/>
      <c r="I14" s="64">
        <v>46301.0</v>
      </c>
      <c r="J14" s="55" t="s">
        <v>111</v>
      </c>
      <c r="K14" s="65" t="s">
        <v>112</v>
      </c>
      <c r="L14" s="65" t="s">
        <v>126</v>
      </c>
      <c r="M14" s="62">
        <v>7.0</v>
      </c>
      <c r="N14" s="66" t="s">
        <v>127</v>
      </c>
    </row>
    <row r="15" ht="21.0" customHeight="1">
      <c r="B15" s="55"/>
      <c r="C15" s="56"/>
      <c r="D15" s="56"/>
      <c r="E15" s="58"/>
      <c r="F15" s="56"/>
      <c r="G15" s="59"/>
      <c r="I15" s="68" t="s">
        <v>128</v>
      </c>
      <c r="J15" s="69"/>
      <c r="K15" s="69"/>
      <c r="L15" s="69"/>
      <c r="M15" s="69"/>
      <c r="N15" s="70"/>
    </row>
    <row r="16" ht="21.0" customHeight="1">
      <c r="B16" s="55"/>
      <c r="C16" s="56"/>
      <c r="D16" s="56"/>
      <c r="E16" s="58"/>
      <c r="F16" s="56"/>
      <c r="G16" s="59"/>
      <c r="I16" s="71" t="s">
        <v>86</v>
      </c>
      <c r="J16" s="70"/>
      <c r="K16" s="71" t="s">
        <v>129</v>
      </c>
      <c r="L16" s="70"/>
      <c r="M16" s="74" t="s">
        <v>130</v>
      </c>
      <c r="N16" s="70"/>
    </row>
    <row r="17" ht="21.0" customHeight="1">
      <c r="B17" s="56"/>
      <c r="C17" s="56"/>
      <c r="D17" s="56"/>
      <c r="E17" s="58"/>
      <c r="F17" s="56"/>
      <c r="G17" s="59"/>
      <c r="I17" s="75" t="s">
        <v>46</v>
      </c>
      <c r="J17" s="70"/>
      <c r="K17" s="79">
        <f>IFERROR(ROUND(AVERAGEIF($J$7:$J$14, "Listening", $M$7:$M$14), 1), "-")</f>
        <v>7.8</v>
      </c>
      <c r="L17" s="70"/>
      <c r="M17" s="81" t="str">
        <f t="shared" ref="M17:M20" si="1">IF(K17="-", "-", IF(K17&gt;=7.5, "Rất tốt - Duy trì", "Cần luyện thêm"))</f>
        <v>Rất tốt - Duy trì</v>
      </c>
      <c r="N17" s="70"/>
    </row>
    <row r="18" ht="21.0" customHeight="1">
      <c r="B18" s="56"/>
      <c r="C18" s="56"/>
      <c r="D18" s="56"/>
      <c r="E18" s="58"/>
      <c r="F18" s="56"/>
      <c r="G18" s="59"/>
      <c r="I18" s="75" t="s">
        <v>102</v>
      </c>
      <c r="J18" s="70"/>
      <c r="K18" s="79">
        <f>IFERROR(ROUND(AVERAGEIF($J$7:$J$14, "Reading", $M$7:$M$14), 1), "-")</f>
        <v>7</v>
      </c>
      <c r="L18" s="70"/>
      <c r="M18" s="81" t="str">
        <f t="shared" si="1"/>
        <v>Cần luyện thêm</v>
      </c>
      <c r="N18" s="70"/>
    </row>
    <row r="19" ht="21.0" customHeight="1">
      <c r="B19" s="56"/>
      <c r="C19" s="56"/>
      <c r="D19" s="56"/>
      <c r="E19" s="58"/>
      <c r="F19" s="56"/>
      <c r="G19" s="59"/>
      <c r="I19" s="75" t="s">
        <v>106</v>
      </c>
      <c r="J19" s="70"/>
      <c r="K19" s="79">
        <f>IFERROR(ROUND(AVERAGEIF($J$7:$J$14, "Writing", $M$7:$M$14), 1), "-")</f>
        <v>6.8</v>
      </c>
      <c r="L19" s="70"/>
      <c r="M19" s="81" t="str">
        <f t="shared" si="1"/>
        <v>Cần luyện thêm</v>
      </c>
      <c r="N19" s="70"/>
    </row>
    <row r="20" ht="21.0" customHeight="1">
      <c r="B20" s="56"/>
      <c r="C20" s="56"/>
      <c r="D20" s="56"/>
      <c r="E20" s="58"/>
      <c r="F20" s="56"/>
      <c r="G20" s="59"/>
      <c r="I20" s="75" t="s">
        <v>111</v>
      </c>
      <c r="J20" s="70"/>
      <c r="K20" s="79">
        <f>IFERROR(ROUND(AVERAGEIF($J$7:$J$14, "Speaking", $M$7:$M$14), 1), "-")</f>
        <v>6.8</v>
      </c>
      <c r="L20" s="70"/>
      <c r="M20" s="81" t="str">
        <f t="shared" si="1"/>
        <v>Cần luyện thêm</v>
      </c>
      <c r="N20" s="70"/>
    </row>
    <row r="21">
      <c r="I21" s="86" t="s">
        <v>138</v>
      </c>
      <c r="J21" s="70"/>
      <c r="K21" s="90">
        <f>IFERROR(ROUND(AVERAGE(K17:K20), 1), "-")</f>
        <v>7.1</v>
      </c>
      <c r="L21" s="70"/>
      <c r="M21" s="86" t="str">
        <f>IF(OR(K21="-", K21=""), "-", IF(K21&gt;=7.5, "Đạt mục tiêu Target 7.5 🎯", "Cách Target 7.5: " &amp; TEXT(7.5-K21, "0.0") &amp; " band"))</f>
        <v>Cách Target 7.5: 0,4 band</v>
      </c>
      <c r="N21" s="70"/>
    </row>
    <row r="22">
      <c r="B22" s="91" t="s">
        <v>140</v>
      </c>
    </row>
    <row r="23">
      <c r="B23" s="92" t="s">
        <v>141</v>
      </c>
      <c r="C23" s="15"/>
      <c r="D23" s="16"/>
      <c r="E23" s="92" t="s">
        <v>142</v>
      </c>
      <c r="F23" s="15"/>
      <c r="G23" s="16"/>
    </row>
    <row r="24">
      <c r="B24" s="93">
        <f>ROUND(SUMIFS('Nhật ký nhiệm vụ'!J:J, 'Nhật ký nhiệm vụ'!F:F, "IELTS")/60, 1)</f>
        <v>8</v>
      </c>
      <c r="C24" s="15"/>
      <c r="D24" s="16"/>
      <c r="E24" s="23">
        <f>IF(COUNTIF('Nhật ký nhiệm vụ'!H7:H100, "?*")=0, 0, COUNTIF('Nhật ký nhiệm vụ'!C7:C100, TRUE)/COUNTIF('Nhật ký nhiệm vụ'!H7:H100, "?*"))</f>
        <v>0.6</v>
      </c>
      <c r="F24" s="15"/>
      <c r="G24" s="16"/>
    </row>
    <row r="25">
      <c r="B25" s="51" t="str">
        <f>"Đã tích lũy " &amp; TEXT(SUMIFS('Nhật ký nhiệm vụ'!J:J, 'Nhật ký nhiệm vụ'!F:F, "IELTS"), "#,##0") &amp; " phút luyện tập"</f>
        <v>Đã tích lũy 480 phút luyện tập</v>
      </c>
      <c r="C25" s="15"/>
      <c r="D25" s="16"/>
      <c r="E25" s="51" t="str">
        <f>IFERROR(__xludf.DUMMYFUNCTION("SPARKLINE(E24, {""charttype"",""bar""; ""max"",1; ""color1"",""#1a73e8""})"),"")</f>
        <v/>
      </c>
      <c r="F25" s="15"/>
      <c r="G25" s="16"/>
    </row>
  </sheetData>
  <mergeCells count="45">
    <mergeCell ref="B24:D24"/>
    <mergeCell ref="B25:D25"/>
    <mergeCell ref="E25:G25"/>
    <mergeCell ref="I21:J21"/>
    <mergeCell ref="K21:L21"/>
    <mergeCell ref="M21:N21"/>
    <mergeCell ref="B22:G22"/>
    <mergeCell ref="B23:D23"/>
    <mergeCell ref="E23:G23"/>
    <mergeCell ref="E24:G24"/>
    <mergeCell ref="B1:M1"/>
    <mergeCell ref="B2:C2"/>
    <mergeCell ref="D2:E2"/>
    <mergeCell ref="F2:G2"/>
    <mergeCell ref="I2:J2"/>
    <mergeCell ref="K2:L2"/>
    <mergeCell ref="M2:N2"/>
    <mergeCell ref="D4:E4"/>
    <mergeCell ref="F4:G4"/>
    <mergeCell ref="B3:C3"/>
    <mergeCell ref="D3:E3"/>
    <mergeCell ref="F3:G3"/>
    <mergeCell ref="I3:J3"/>
    <mergeCell ref="K3:L3"/>
    <mergeCell ref="M3:N3"/>
    <mergeCell ref="B4:C4"/>
    <mergeCell ref="M4:N4"/>
    <mergeCell ref="K17:L17"/>
    <mergeCell ref="M17:N17"/>
    <mergeCell ref="I4:J4"/>
    <mergeCell ref="K4:L4"/>
    <mergeCell ref="I15:N15"/>
    <mergeCell ref="I16:J16"/>
    <mergeCell ref="K16:L16"/>
    <mergeCell ref="M16:N16"/>
    <mergeCell ref="I17:J17"/>
    <mergeCell ref="K20:L20"/>
    <mergeCell ref="M20:N20"/>
    <mergeCell ref="I18:J18"/>
    <mergeCell ref="K18:L18"/>
    <mergeCell ref="M18:N18"/>
    <mergeCell ref="I19:J19"/>
    <mergeCell ref="K19:L19"/>
    <mergeCell ref="M19:N19"/>
    <mergeCell ref="I20:J20"/>
  </mergeCells>
  <conditionalFormatting sqref="B7:G20">
    <cfRule type="expression" dxfId="0" priority="1" stopIfTrue="1">
      <formula>OR($B7=TRUE, $B7="✔")</formula>
    </cfRule>
  </conditionalFormatting>
  <dataValidations>
    <dataValidation type="list" allowBlank="1" sqref="J7:J14">
      <formula1>"Listening,Reading,Writing,Speaking,Full Test"</formula1>
    </dataValidation>
  </dataValidations>
  <hyperlinks>
    <hyperlink display="⌂ Về Dashboard" location="Dashboard!A1" ref="N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5151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0"/>
    <col customWidth="1" min="2" max="2" width="15.86"/>
    <col customWidth="1" min="3" max="3" width="13.71"/>
    <col customWidth="1" min="4" max="5" width="15.14"/>
    <col customWidth="1" min="6" max="6" width="15.86"/>
    <col customWidth="1" min="7" max="7" width="18.71"/>
    <col customWidth="1" min="8" max="8" width="43.0"/>
    <col customWidth="1" min="9" max="9" width="15.86"/>
    <col customWidth="1" min="10" max="10" width="17.29"/>
    <col customWidth="1" min="11" max="11" width="25.86"/>
    <col customWidth="1" min="12" max="12" width="15.86"/>
    <col customWidth="1" min="13" max="13" width="16.57"/>
    <col customWidth="1" min="14" max="14" width="19.43"/>
  </cols>
  <sheetData>
    <row r="1" ht="33.0" customHeight="1">
      <c r="A1" s="1" t="s">
        <v>1</v>
      </c>
      <c r="J1" s="4" t="s">
        <v>2</v>
      </c>
    </row>
    <row r="2" ht="9.0" customHeight="1">
      <c r="A2" s="5"/>
      <c r="B2" s="5"/>
      <c r="C2" s="5"/>
      <c r="D2" s="5"/>
      <c r="E2" s="5"/>
      <c r="F2" s="8"/>
      <c r="G2" s="9"/>
      <c r="H2" s="5"/>
      <c r="I2" s="10"/>
      <c r="J2" s="9"/>
      <c r="K2" s="11"/>
    </row>
    <row r="3" ht="19.5" customHeight="1">
      <c r="A3" s="13" t="s">
        <v>3</v>
      </c>
      <c r="B3" s="15"/>
      <c r="C3" s="16"/>
      <c r="D3" s="13" t="s">
        <v>6</v>
      </c>
      <c r="E3" s="15"/>
      <c r="F3" s="16"/>
      <c r="G3" s="13" t="s">
        <v>9</v>
      </c>
      <c r="H3" s="15"/>
      <c r="I3" s="15"/>
      <c r="J3" s="16"/>
      <c r="K3" s="13" t="s">
        <v>10</v>
      </c>
      <c r="L3" s="15"/>
      <c r="M3" s="15"/>
      <c r="N3" s="16"/>
    </row>
    <row r="4" ht="27.0" customHeight="1">
      <c r="A4" s="20">
        <f>COUNTIF(H7:H986, "?*")</f>
        <v>35</v>
      </c>
      <c r="B4" s="15"/>
      <c r="C4" s="16"/>
      <c r="D4" s="20">
        <f>COUNTIFS(H7:H986, "?*", C7:C986, TRUE) + COUNTIFS(H7:H986, "?*", N7:N986, "Đã hoàn thành bù")</f>
        <v>28</v>
      </c>
      <c r="E4" s="15"/>
      <c r="F4" s="16"/>
      <c r="G4" s="23">
        <f>IF(A4=0, 0, D4/A4)</f>
        <v>0.8</v>
      </c>
      <c r="H4" s="15"/>
      <c r="I4" s="15"/>
      <c r="J4" s="16"/>
      <c r="K4" s="24">
        <f>SUM(J7:J986)</f>
        <v>6435</v>
      </c>
      <c r="L4" s="15"/>
      <c r="M4" s="15"/>
      <c r="N4" s="16"/>
    </row>
    <row r="5" ht="10.5" customHeight="1">
      <c r="A5" s="5"/>
      <c r="B5" s="5"/>
      <c r="C5" s="5"/>
      <c r="D5" s="5"/>
      <c r="E5" s="5"/>
      <c r="F5" s="8"/>
      <c r="G5" s="9"/>
      <c r="H5" s="5"/>
      <c r="I5" s="10"/>
      <c r="J5" s="9"/>
      <c r="K5" s="11"/>
      <c r="L5" s="11"/>
      <c r="M5" s="11"/>
      <c r="N5" s="11"/>
    </row>
    <row r="6" ht="24.0" customHeight="1">
      <c r="A6" s="25" t="s">
        <v>16</v>
      </c>
      <c r="B6" s="25" t="s">
        <v>18</v>
      </c>
      <c r="C6" s="25" t="s">
        <v>19</v>
      </c>
      <c r="D6" s="25" t="s">
        <v>20</v>
      </c>
      <c r="E6" s="25" t="s">
        <v>21</v>
      </c>
      <c r="F6" s="25" t="s">
        <v>22</v>
      </c>
      <c r="G6" s="25" t="s">
        <v>23</v>
      </c>
      <c r="H6" s="25" t="s">
        <v>24</v>
      </c>
      <c r="I6" s="25" t="s">
        <v>25</v>
      </c>
      <c r="J6" s="25" t="s">
        <v>26</v>
      </c>
      <c r="K6" s="25" t="s">
        <v>27</v>
      </c>
      <c r="L6" s="25" t="s">
        <v>29</v>
      </c>
      <c r="M6" s="25" t="s">
        <v>30</v>
      </c>
      <c r="N6" s="25" t="s">
        <v>31</v>
      </c>
    </row>
    <row r="7" ht="21.0" customHeight="1">
      <c r="A7" s="29" t="str">
        <f t="shared" ref="A7:A49" si="1">IF(OR(B7&lt;&gt;"", H7&lt;&gt;""), "T" &amp; TEXT(ROW()-6, "00"), "")</f>
        <v>T01</v>
      </c>
      <c r="B7" s="31">
        <v>46299.0</v>
      </c>
      <c r="C7" s="32" t="b">
        <v>1</v>
      </c>
      <c r="D7" s="33">
        <v>0.3125</v>
      </c>
      <c r="E7" s="33">
        <v>0.3541666666666667</v>
      </c>
      <c r="F7" s="32" t="s">
        <v>45</v>
      </c>
      <c r="G7" s="36" t="s">
        <v>46</v>
      </c>
      <c r="H7" s="37" t="s">
        <v>47</v>
      </c>
      <c r="I7" s="32" t="s">
        <v>49</v>
      </c>
      <c r="J7" s="40">
        <f>IFERROR(IF(AND(D7&lt;&gt;"", E7&lt;&gt;""), ROUND(MOD(E7 - D7, 1) * 1440,0), IFERROR(VLOOKUP(H7, 'Dữ liệu'!$X$4:$AA$15, 4, FALSE), "")), "")</f>
        <v>60</v>
      </c>
      <c r="K7" s="41"/>
      <c r="L7" s="42">
        <f t="shared" ref="L7:L49" si="2">IF(B7="", "", B7)</f>
        <v>46299</v>
      </c>
      <c r="M7" s="29"/>
      <c r="N7" s="29" t="str">
        <f t="shared" ref="N7:N9" si="3">IF(OR(B7="", H7=""), "", IF(C7=TRUE, IF(OR(M7&lt;&gt;"", ISNUMBER(SEARCH("bù", K7&amp;" "&amp;H7)), ISNUMBER(SEARCH("dời", K7&amp;" "&amp;H7)), AND(ISNUMBER(L7), ISNUMBER(B7), L7&lt;&gt;"", B7&gt;L7)), "Hoàn thành bù", "Hoàn thành"), IF((COUNTIFS($M$7:$M$50, A7, $C$7:$C$50, TRUE) + COUNTIFS($M$7:$M$50, IFERROR(INDEX($A$7:$A$50, MATCH(A7, $M$7:$M$50, 0)), "###"), $C$7:$C$50, TRUE) + COUNTIFS($M$7:$M$50, IFERROR(INDEX($A$7:$A$50, MATCH(IFERROR(INDEX($A$7:$A$50, MATCH(A7, $M$7:$M$50, 0)), "###"), $M$7:$M$50, 0)), "###"), $C$7:$C$50, TRUE) + COUNTIFS($M$7:$M$50, IFERROR(INDEX($A$7:$A$50, MATCH(IFERROR(INDEX($A$7:$A$50, MATCH(IFERROR(INDEX($A$7:$A$50, MATCH(A7, $M$7:$M$50, 0)), "###"), $M$7:$M$50, 0)), "###"), $M$7:$M$50, 0)), "###"), $C$7:$C$50, TRUE))&gt;0, "Đã hoàn thành bù", IF(OR(ISNUMBER(SEARCH("dời", K7)), ISNUMBER(SEARCH("hoãn", K7))), "Dời lịch", IF(AND(ISNUMBER(IF(L7&lt;&gt;"", L7, B7)), IF(L7&lt;&gt;"", L7, B7)&lt;TODAY()), "Quá hạn", "Đang thực hiện")))))</f>
        <v>Hoàn thành</v>
      </c>
    </row>
    <row r="8" ht="21.0" customHeight="1">
      <c r="A8" s="29" t="str">
        <f t="shared" si="1"/>
        <v>T02</v>
      </c>
      <c r="B8" s="31">
        <v>46300.0</v>
      </c>
      <c r="C8" s="48" t="b">
        <v>1</v>
      </c>
      <c r="D8" s="33">
        <v>0.2916666666666667</v>
      </c>
      <c r="E8" s="33">
        <v>0.6458333333333334</v>
      </c>
      <c r="F8" s="32" t="s">
        <v>78</v>
      </c>
      <c r="G8" s="29"/>
      <c r="H8" s="37" t="s">
        <v>79</v>
      </c>
      <c r="I8" s="32" t="s">
        <v>49</v>
      </c>
      <c r="J8" s="52">
        <f>IFERROR(IF(AND(D8&lt;&gt;"", E8&lt;&gt;""), ROUND(MOD(E8 - D8, 1) * 1440,0), IFERROR(VLOOKUP(H8, 'Dữ liệu'!$X$4:$AA$15, 4, FALSE), "")), "")</f>
        <v>510</v>
      </c>
      <c r="K8" s="41"/>
      <c r="L8" s="42">
        <f t="shared" si="2"/>
        <v>46300</v>
      </c>
      <c r="M8" s="29"/>
      <c r="N8" s="29" t="str">
        <f t="shared" si="3"/>
        <v>Hoàn thành</v>
      </c>
    </row>
    <row r="9" ht="21.0" customHeight="1">
      <c r="A9" s="29" t="str">
        <f t="shared" si="1"/>
        <v>T03</v>
      </c>
      <c r="B9" s="31">
        <v>46300.0</v>
      </c>
      <c r="C9" s="48" t="b">
        <v>1</v>
      </c>
      <c r="D9" s="33">
        <v>0.6666666666666666</v>
      </c>
      <c r="E9" s="33">
        <v>0.75</v>
      </c>
      <c r="F9" s="32" t="s">
        <v>80</v>
      </c>
      <c r="G9" s="29"/>
      <c r="H9" s="37" t="s">
        <v>81</v>
      </c>
      <c r="I9" s="32" t="s">
        <v>49</v>
      </c>
      <c r="J9" s="52">
        <f>IFERROR(IF(AND(D9&lt;&gt;"", E9&lt;&gt;""), ROUND(MOD(E9 - D9, 1) * 1440,0), IFERROR(VLOOKUP(H9, 'Dữ liệu'!$X$4:$AA$15, 4, FALSE), "")), "")</f>
        <v>120</v>
      </c>
      <c r="K9" s="41"/>
      <c r="L9" s="42">
        <f t="shared" si="2"/>
        <v>46300</v>
      </c>
      <c r="M9" s="29"/>
      <c r="N9" s="29" t="str">
        <f t="shared" si="3"/>
        <v>Hoàn thành</v>
      </c>
    </row>
    <row r="10" ht="21.0" customHeight="1">
      <c r="A10" s="29" t="str">
        <f t="shared" si="1"/>
        <v>T04</v>
      </c>
      <c r="B10" s="31">
        <v>46300.0</v>
      </c>
      <c r="C10" s="48" t="b">
        <v>1</v>
      </c>
      <c r="D10" s="33">
        <v>0.7708333333333334</v>
      </c>
      <c r="E10" s="33">
        <v>0.8541666666666666</v>
      </c>
      <c r="F10" s="32" t="s">
        <v>91</v>
      </c>
      <c r="G10" s="29"/>
      <c r="H10" s="37" t="s">
        <v>92</v>
      </c>
      <c r="I10" s="32" t="s">
        <v>49</v>
      </c>
      <c r="J10" s="52">
        <f>IFERROR(IF(AND(D10&lt;&gt;"", E10&lt;&gt;""), ROUND(MOD(E10 - D10, 1) * 1440,0), IFERROR(VLOOKUP(H10, 'Dữ liệu'!$X$4:$AA$15, 4, FALSE), "")), "")</f>
        <v>120</v>
      </c>
      <c r="K10" s="41"/>
      <c r="L10" s="42">
        <f t="shared" si="2"/>
        <v>46300</v>
      </c>
      <c r="M10" s="29"/>
      <c r="N10" s="29" t="str">
        <f t="array" ref="N10">IF(OR(B10="", H10=""), "", IF(C10=TRUE, IF(OR(M10&lt;&gt;"", ISNUMBER(SEARCH("bù", K10&amp;" "&amp;H10)), ISNUMBER(SEARCH("dời", K10&amp;" "&amp;H10)), AND(ISNUMBER(L10), ISNUMBER(B10), L10&lt;&gt;"", B10&gt;L10)), "Hoàn thành bù", "Hoàn thành"), IF((COUNTIFS($M$7:$M$50, A10, $C$7:$C$50, TRUE) + COUNTIFS($M$7:$M$50, IFERROR(INDEX($A$7:$A$50, MATCH(A10, $M$7:$M$50, 0)), "###"), $C$7:$C$50, TRUE) + COUNTIFS($M$7:$M$50, IFERROR(INDEX($A$7:$A$50, MATCH(IFERROR(INDEX($A$7:$A$50, MATCH(A10, $M$7:$M$50, 0)), "###"), $M$7:$M$50, 0)), "###"), $C$7:$C$50, TRUE) + COUNTIFS($M$7:$M$50, IFERROR(INDEX($A$7:$A$50, MATCH(IFERROR(INDEX($A$7:$A$50, MATCH(IFERROR(INDEX($A$7:$A$50, MATCH(A10, $M$7:$M$50, 0)), "###"), $M$7:$M$50, 0)), "###"), $M$7:$M$50, 0)), "###"), $C$7:$C$50, TRUE))&gt;0, "Đã hoàn thành bù", IF(OR(ISNUMBER(SEARCH("dời", K10)), ISNUMBER(SEARCH("hoãn", K10))), "Dời lịch", IF(AND(ISNUMBER(IF(L10&lt;&gt;"", L10, B9)), IF(L10&lt;&gt;"", L10, B10)&lt;TODAY()), "Quá hạn", "Đang thực hiện")))))</f>
        <v>Hoàn thành</v>
      </c>
    </row>
    <row r="11" ht="21.0" customHeight="1">
      <c r="A11" s="29" t="str">
        <f t="shared" si="1"/>
        <v>T05</v>
      </c>
      <c r="B11" s="31">
        <v>46300.0</v>
      </c>
      <c r="C11" s="48" t="b">
        <v>0</v>
      </c>
      <c r="D11" s="33">
        <v>0.875</v>
      </c>
      <c r="E11" s="33">
        <v>0.9583333333333334</v>
      </c>
      <c r="F11" s="32" t="s">
        <v>45</v>
      </c>
      <c r="G11" s="78" t="s">
        <v>132</v>
      </c>
      <c r="H11" s="37" t="s">
        <v>133</v>
      </c>
      <c r="I11" s="32" t="s">
        <v>49</v>
      </c>
      <c r="J11" s="52">
        <f>IFERROR(IF(AND(D11&lt;&gt;"", E11&lt;&gt;""), ROUND(MOD(E11 - D11, 1) * 1440,0), IFERROR(VLOOKUP(H11, 'Dữ liệu'!$X$4:$AA$15, 4, FALSE), "")), "")</f>
        <v>120</v>
      </c>
      <c r="K11" s="37" t="s">
        <v>134</v>
      </c>
      <c r="L11" s="42">
        <f t="shared" si="2"/>
        <v>46300</v>
      </c>
      <c r="M11" s="29"/>
      <c r="N11" s="29" t="str">
        <f t="shared" ref="N11:N49" si="4">IF(OR(B11="", H11=""), "", IF(C11=TRUE, IF(OR(M11&lt;&gt;"", ISNUMBER(SEARCH("bù", K11&amp;" "&amp;H11)), ISNUMBER(SEARCH("dời", K11&amp;" "&amp;H11)), AND(ISNUMBER(L11), ISNUMBER(B11), L11&lt;&gt;"", B11&gt;L11)), "Hoàn thành bù", "Hoàn thành"), IF((COUNTIFS($M$7:$M$50, A11, $C$7:$C$50, TRUE) + COUNTIFS($M$7:$M$50, IFERROR(INDEX($A$7:$A$50, MATCH(A11, $M$7:$M$50, 0)), "###"), $C$7:$C$50, TRUE) + COUNTIFS($M$7:$M$50, IFERROR(INDEX($A$7:$A$50, MATCH(IFERROR(INDEX($A$7:$A$50, MATCH(A11, $M$7:$M$50, 0)), "###"), $M$7:$M$50, 0)), "###"), $C$7:$C$50, TRUE) + COUNTIFS($M$7:$M$50, IFERROR(INDEX($A$7:$A$50, MATCH(IFERROR(INDEX($A$7:$A$50, MATCH(IFERROR(INDEX($A$7:$A$50, MATCH(A11, $M$7:$M$50, 0)), "###"), $M$7:$M$50, 0)), "###"), $M$7:$M$50, 0)), "###"), $C$7:$C$50, TRUE))&gt;0, "Đã hoàn thành bù", IF(OR(ISNUMBER(SEARCH("dời", K11)), ISNUMBER(SEARCH("hoãn", K11))), "Dời lịch", IF(AND(ISNUMBER(IF(L11&lt;&gt;"", L11, B11)), IF(L11&lt;&gt;"", L11, B11)&lt;TODAY()), "Quá hạn", "Đang thực hiện")))))</f>
        <v>Đã hoàn thành bù</v>
      </c>
    </row>
    <row r="12" ht="21.0" customHeight="1">
      <c r="A12" s="29" t="str">
        <f t="shared" si="1"/>
        <v>T06</v>
      </c>
      <c r="B12" s="31">
        <v>46301.0</v>
      </c>
      <c r="C12" s="48" t="b">
        <v>1</v>
      </c>
      <c r="D12" s="33">
        <v>0.2916666666666667</v>
      </c>
      <c r="E12" s="33">
        <v>0.6458333333333334</v>
      </c>
      <c r="F12" s="32" t="s">
        <v>78</v>
      </c>
      <c r="G12" s="29"/>
      <c r="H12" s="37" t="s">
        <v>79</v>
      </c>
      <c r="I12" s="32" t="s">
        <v>49</v>
      </c>
      <c r="J12" s="52">
        <f>IFERROR(IF(AND(D12&lt;&gt;"", E12&lt;&gt;""), ROUND(MOD(E12 - D12, 1) * 1440,0), IFERROR(VLOOKUP(H12, 'Dữ liệu'!$X$4:$AA$15, 4, FALSE), "")), "")</f>
        <v>510</v>
      </c>
      <c r="K12" s="41"/>
      <c r="L12" s="42">
        <f t="shared" si="2"/>
        <v>46301</v>
      </c>
      <c r="M12" s="29"/>
      <c r="N12" s="29" t="str">
        <f t="shared" si="4"/>
        <v>Hoàn thành</v>
      </c>
    </row>
    <row r="13" ht="21.0" customHeight="1">
      <c r="A13" s="29" t="str">
        <f t="shared" si="1"/>
        <v>T07</v>
      </c>
      <c r="B13" s="31">
        <v>46301.0</v>
      </c>
      <c r="C13" s="48" t="b">
        <v>1</v>
      </c>
      <c r="D13" s="33">
        <v>0.6666666666666666</v>
      </c>
      <c r="E13" s="33">
        <v>0.7083333333333334</v>
      </c>
      <c r="F13" s="32" t="s">
        <v>45</v>
      </c>
      <c r="G13" s="78" t="s">
        <v>132</v>
      </c>
      <c r="H13" s="37" t="s">
        <v>143</v>
      </c>
      <c r="I13" s="32" t="s">
        <v>144</v>
      </c>
      <c r="J13" s="52">
        <f>IFERROR(IF(AND(D13&lt;&gt;"", E13&lt;&gt;""), ROUND(MOD(E13 - D13, 1) * 1440,0), IFERROR(VLOOKUP(H13, 'Dữ liệu'!$X$4:$AA$15, 4, FALSE), "")), "")</f>
        <v>60</v>
      </c>
      <c r="K13" s="37"/>
      <c r="L13" s="42">
        <f t="shared" si="2"/>
        <v>46301</v>
      </c>
      <c r="M13" s="36" t="s">
        <v>145</v>
      </c>
      <c r="N13" s="29" t="str">
        <f t="shared" si="4"/>
        <v>Hoàn thành bù</v>
      </c>
    </row>
    <row r="14" ht="21.0" customHeight="1">
      <c r="A14" s="29" t="str">
        <f t="shared" si="1"/>
        <v>T08</v>
      </c>
      <c r="B14" s="31">
        <v>46301.0</v>
      </c>
      <c r="C14" s="48" t="b">
        <v>0</v>
      </c>
      <c r="D14" s="33">
        <v>0.7083333333333334</v>
      </c>
      <c r="E14" s="33">
        <v>0.75</v>
      </c>
      <c r="F14" s="32" t="s">
        <v>45</v>
      </c>
      <c r="G14" s="78" t="s">
        <v>132</v>
      </c>
      <c r="H14" s="37" t="s">
        <v>146</v>
      </c>
      <c r="I14" s="32" t="s">
        <v>49</v>
      </c>
      <c r="J14" s="52">
        <f>IFERROR(IF(AND(D14&lt;&gt;"", E14&lt;&gt;""), ROUND(MOD(E14 - D14, 1) * 1440,0), IFERROR(VLOOKUP(H14, 'Dữ liệu'!$X$4:$AA$15, 4, FALSE), "")), "")</f>
        <v>60</v>
      </c>
      <c r="K14" s="41"/>
      <c r="L14" s="42">
        <f t="shared" si="2"/>
        <v>46301</v>
      </c>
      <c r="M14" s="29"/>
      <c r="N14" s="29" t="str">
        <f t="shared" si="4"/>
        <v>Đã hoàn thành bù</v>
      </c>
    </row>
    <row r="15" ht="21.0" customHeight="1">
      <c r="A15" s="29" t="str">
        <f t="shared" si="1"/>
        <v>T09</v>
      </c>
      <c r="B15" s="31">
        <v>46301.0</v>
      </c>
      <c r="C15" s="48" t="b">
        <v>1</v>
      </c>
      <c r="D15" s="33">
        <v>0.75</v>
      </c>
      <c r="E15" s="33">
        <v>0.875</v>
      </c>
      <c r="F15" s="32" t="s">
        <v>80</v>
      </c>
      <c r="G15" s="29"/>
      <c r="H15" s="37" t="s">
        <v>147</v>
      </c>
      <c r="I15" s="32" t="s">
        <v>49</v>
      </c>
      <c r="J15" s="52">
        <f>IFERROR(IF(AND(D15&lt;&gt;"", E15&lt;&gt;""), ROUND(MOD(E15 - D15, 1) * 1440,0), IFERROR(VLOOKUP(H15, 'Dữ liệu'!$X$4:$AA$15, 4, FALSE), "")), "")</f>
        <v>180</v>
      </c>
      <c r="K15" s="41"/>
      <c r="L15" s="42">
        <f t="shared" si="2"/>
        <v>46301</v>
      </c>
      <c r="M15" s="29"/>
      <c r="N15" s="29" t="str">
        <f t="shared" si="4"/>
        <v>Hoàn thành</v>
      </c>
    </row>
    <row r="16" ht="21.0" customHeight="1">
      <c r="A16" s="29" t="str">
        <f t="shared" si="1"/>
        <v>T10</v>
      </c>
      <c r="B16" s="31">
        <v>46302.0</v>
      </c>
      <c r="C16" s="48" t="b">
        <v>1</v>
      </c>
      <c r="D16" s="33">
        <v>0.2916666666666667</v>
      </c>
      <c r="E16" s="33">
        <v>0.6458333333333334</v>
      </c>
      <c r="F16" s="32" t="s">
        <v>78</v>
      </c>
      <c r="G16" s="29"/>
      <c r="H16" s="37" t="s">
        <v>79</v>
      </c>
      <c r="I16" s="32" t="s">
        <v>49</v>
      </c>
      <c r="J16" s="52">
        <f>IFERROR(IF(AND(D16&lt;&gt;"", E16&lt;&gt;""), ROUND(MOD(E16 - D16, 1) * 1440,0), IFERROR(VLOOKUP(H16, 'Dữ liệu'!$X$4:$AA$15, 4, FALSE), "")), "")</f>
        <v>510</v>
      </c>
      <c r="K16" s="41"/>
      <c r="L16" s="42">
        <f t="shared" si="2"/>
        <v>46302</v>
      </c>
      <c r="M16" s="29"/>
      <c r="N16" s="29" t="str">
        <f t="shared" si="4"/>
        <v>Hoàn thành</v>
      </c>
    </row>
    <row r="17" ht="21.0" customHeight="1">
      <c r="A17" s="29" t="str">
        <f t="shared" si="1"/>
        <v>T11</v>
      </c>
      <c r="B17" s="31">
        <v>46302.0</v>
      </c>
      <c r="C17" s="48" t="b">
        <v>1</v>
      </c>
      <c r="D17" s="33">
        <v>0.6666666666666666</v>
      </c>
      <c r="E17" s="33">
        <v>0.75</v>
      </c>
      <c r="F17" s="32" t="s">
        <v>80</v>
      </c>
      <c r="G17" s="29"/>
      <c r="H17" s="37" t="s">
        <v>81</v>
      </c>
      <c r="I17" s="32" t="s">
        <v>49</v>
      </c>
      <c r="J17" s="52">
        <f>IFERROR(IF(AND(D17&lt;&gt;"", E17&lt;&gt;""), ROUND(MOD(E17 - D17, 1) * 1440,0), IFERROR(VLOOKUP(H17, 'Dữ liệu'!$X$4:$AA$15, 4, FALSE), "")), "")</f>
        <v>120</v>
      </c>
      <c r="K17" s="41"/>
      <c r="L17" s="42">
        <f t="shared" si="2"/>
        <v>46302</v>
      </c>
      <c r="M17" s="29"/>
      <c r="N17" s="29" t="str">
        <f t="shared" si="4"/>
        <v>Hoàn thành</v>
      </c>
    </row>
    <row r="18" ht="21.0" customHeight="1">
      <c r="A18" s="29" t="str">
        <f t="shared" si="1"/>
        <v>T12</v>
      </c>
      <c r="B18" s="31">
        <v>46302.0</v>
      </c>
      <c r="C18" s="48" t="b">
        <v>1</v>
      </c>
      <c r="D18" s="33">
        <v>0.75</v>
      </c>
      <c r="E18" s="33">
        <v>0.875</v>
      </c>
      <c r="F18" s="32" t="s">
        <v>80</v>
      </c>
      <c r="G18" s="29"/>
      <c r="H18" s="37" t="s">
        <v>147</v>
      </c>
      <c r="I18" s="32" t="s">
        <v>49</v>
      </c>
      <c r="J18" s="52">
        <f>IFERROR(IF(AND(D18&lt;&gt;"", E18&lt;&gt;""), ROUND(MOD(E18 - D18, 1) * 1440,0), IFERROR(VLOOKUP(H18, 'Dữ liệu'!$X$4:$AA$15, 4, FALSE), "")), "")</f>
        <v>180</v>
      </c>
      <c r="K18" s="41"/>
      <c r="L18" s="42">
        <f t="shared" si="2"/>
        <v>46302</v>
      </c>
      <c r="M18" s="29"/>
      <c r="N18" s="29" t="str">
        <f t="shared" si="4"/>
        <v>Hoàn thành</v>
      </c>
    </row>
    <row r="19" ht="21.0" customHeight="1">
      <c r="A19" s="29" t="str">
        <f t="shared" si="1"/>
        <v>T13</v>
      </c>
      <c r="B19" s="31">
        <v>46302.0</v>
      </c>
      <c r="C19" s="48" t="b">
        <v>0</v>
      </c>
      <c r="D19" s="33">
        <v>0.875</v>
      </c>
      <c r="E19" s="33">
        <v>0.9166666666666666</v>
      </c>
      <c r="F19" s="32" t="s">
        <v>45</v>
      </c>
      <c r="G19" s="78" t="s">
        <v>132</v>
      </c>
      <c r="H19" s="37" t="s">
        <v>146</v>
      </c>
      <c r="I19" s="32" t="s">
        <v>144</v>
      </c>
      <c r="J19" s="52">
        <f>IFERROR(IF(AND(D19&lt;&gt;"", E19&lt;&gt;""), ROUND(MOD(E19 - D19, 1) * 1440,0), IFERROR(VLOOKUP(H19, 'Dữ liệu'!$X$4:$AA$15, 4, FALSE), "")), "")</f>
        <v>60</v>
      </c>
      <c r="K19" s="41"/>
      <c r="L19" s="42">
        <f t="shared" si="2"/>
        <v>46302</v>
      </c>
      <c r="M19" s="78" t="s">
        <v>158</v>
      </c>
      <c r="N19" s="29" t="str">
        <f t="shared" si="4"/>
        <v>Đã hoàn thành bù</v>
      </c>
    </row>
    <row r="20" ht="21.0" customHeight="1">
      <c r="A20" s="29" t="str">
        <f t="shared" si="1"/>
        <v>T14</v>
      </c>
      <c r="B20" s="31">
        <v>46302.0</v>
      </c>
      <c r="C20" s="117" t="b">
        <v>0</v>
      </c>
      <c r="D20" s="33">
        <v>0.9166666666666666</v>
      </c>
      <c r="E20" s="33">
        <v>0.9583333333333334</v>
      </c>
      <c r="F20" s="32" t="s">
        <v>159</v>
      </c>
      <c r="G20" s="78" t="s">
        <v>132</v>
      </c>
      <c r="H20" s="37" t="s">
        <v>160</v>
      </c>
      <c r="I20" s="32" t="s">
        <v>49</v>
      </c>
      <c r="J20" s="52">
        <f>IFERROR(IF(AND(D20&lt;&gt;"", E20&lt;&gt;""), ROUND(MOD(E20 - D20, 1) * 1440,0), IFERROR(VLOOKUP(H20, 'Dữ liệu'!$X$4:$AA$15, 4, FALSE), "")), "")</f>
        <v>60</v>
      </c>
      <c r="K20" s="41"/>
      <c r="L20" s="42">
        <f t="shared" si="2"/>
        <v>46302</v>
      </c>
      <c r="M20" s="29"/>
      <c r="N20" s="29" t="str">
        <f t="shared" si="4"/>
        <v>Đã hoàn thành bù</v>
      </c>
    </row>
    <row r="21" ht="21.0" customHeight="1">
      <c r="A21" s="29" t="str">
        <f t="shared" si="1"/>
        <v>T15</v>
      </c>
      <c r="B21" s="31">
        <v>46303.0</v>
      </c>
      <c r="C21" s="48" t="b">
        <v>1</v>
      </c>
      <c r="D21" s="33">
        <v>0.2916666666666667</v>
      </c>
      <c r="E21" s="33">
        <v>0.6458333333333334</v>
      </c>
      <c r="F21" s="32" t="s">
        <v>78</v>
      </c>
      <c r="G21" s="29"/>
      <c r="H21" s="37" t="s">
        <v>79</v>
      </c>
      <c r="I21" s="32" t="s">
        <v>49</v>
      </c>
      <c r="J21" s="52">
        <f>IFERROR(IF(AND(D21&lt;&gt;"", E21&lt;&gt;""), ROUND(MOD(E21 - D21, 1) * 1440,0), IFERROR(VLOOKUP(H21, 'Dữ liệu'!$X$4:$AA$15, 4, FALSE), "")), "")</f>
        <v>510</v>
      </c>
      <c r="K21" s="41"/>
      <c r="L21" s="42">
        <f t="shared" si="2"/>
        <v>46303</v>
      </c>
      <c r="M21" s="29"/>
      <c r="N21" s="29" t="str">
        <f t="shared" si="4"/>
        <v>Hoàn thành</v>
      </c>
    </row>
    <row r="22" ht="21.0" customHeight="1">
      <c r="A22" s="29" t="str">
        <f t="shared" si="1"/>
        <v>T16</v>
      </c>
      <c r="B22" s="31">
        <v>46303.0</v>
      </c>
      <c r="C22" s="48" t="b">
        <v>1</v>
      </c>
      <c r="D22" s="33">
        <v>0.6666666666666666</v>
      </c>
      <c r="E22" s="33">
        <v>0.75</v>
      </c>
      <c r="F22" s="32" t="s">
        <v>80</v>
      </c>
      <c r="G22" s="29"/>
      <c r="H22" s="37" t="s">
        <v>81</v>
      </c>
      <c r="I22" s="32" t="s">
        <v>49</v>
      </c>
      <c r="J22" s="52">
        <f>IFERROR(IF(AND(D22&lt;&gt;"", E22&lt;&gt;""), ROUND(MOD(E22 - D22, 1) * 1440,0), IFERROR(VLOOKUP(H22, 'Dữ liệu'!$X$4:$AA$15, 4, FALSE), "")), "")</f>
        <v>120</v>
      </c>
      <c r="K22" s="41"/>
      <c r="L22" s="42">
        <f t="shared" si="2"/>
        <v>46303</v>
      </c>
      <c r="M22" s="29"/>
      <c r="N22" s="29" t="str">
        <f t="shared" si="4"/>
        <v>Hoàn thành</v>
      </c>
    </row>
    <row r="23" ht="21.0" customHeight="1">
      <c r="A23" s="29" t="str">
        <f t="shared" si="1"/>
        <v>T17</v>
      </c>
      <c r="B23" s="31">
        <v>46303.0</v>
      </c>
      <c r="C23" s="48" t="b">
        <v>1</v>
      </c>
      <c r="D23" s="33">
        <v>0.75</v>
      </c>
      <c r="E23" s="33">
        <v>0.875</v>
      </c>
      <c r="F23" s="32" t="s">
        <v>80</v>
      </c>
      <c r="G23" s="29"/>
      <c r="H23" s="37" t="s">
        <v>147</v>
      </c>
      <c r="I23" s="32" t="s">
        <v>49</v>
      </c>
      <c r="J23" s="52">
        <f>IFERROR(IF(AND(D23&lt;&gt;"", E23&lt;&gt;""), ROUND(MOD(E23 - D23, 1) * 1440,0), IFERROR(VLOOKUP(H23, 'Dữ liệu'!$X$4:$AA$15, 4, FALSE), "")), "")</f>
        <v>180</v>
      </c>
      <c r="K23" s="41"/>
      <c r="L23" s="42">
        <f t="shared" si="2"/>
        <v>46303</v>
      </c>
      <c r="M23" s="29"/>
      <c r="N23" s="29" t="str">
        <f t="shared" si="4"/>
        <v>Hoàn thành</v>
      </c>
    </row>
    <row r="24" ht="21.0" customHeight="1">
      <c r="A24" s="29" t="str">
        <f t="shared" si="1"/>
        <v>T18</v>
      </c>
      <c r="B24" s="31">
        <v>46303.0</v>
      </c>
      <c r="C24" s="48" t="b">
        <v>0</v>
      </c>
      <c r="D24" s="33">
        <v>0.875</v>
      </c>
      <c r="E24" s="33">
        <v>0.9166666666666666</v>
      </c>
      <c r="F24" s="32" t="s">
        <v>45</v>
      </c>
      <c r="G24" s="78" t="s">
        <v>132</v>
      </c>
      <c r="H24" s="37" t="s">
        <v>146</v>
      </c>
      <c r="I24" s="32" t="s">
        <v>144</v>
      </c>
      <c r="J24" s="52">
        <f>IFERROR(IF(AND(D24&lt;&gt;"", E24&lt;&gt;""), ROUND(MOD(E24 - D24, 1) * 1440,0), IFERROR(VLOOKUP(H24, 'Dữ liệu'!$X$4:$AA$15, 4, FALSE), "")), "")</f>
        <v>60</v>
      </c>
      <c r="K24" s="41"/>
      <c r="L24" s="42">
        <f t="shared" si="2"/>
        <v>46303</v>
      </c>
      <c r="M24" s="78" t="s">
        <v>163</v>
      </c>
      <c r="N24" s="29" t="str">
        <f t="shared" si="4"/>
        <v>Đã hoàn thành bù</v>
      </c>
    </row>
    <row r="25" ht="21.0" customHeight="1">
      <c r="A25" s="29" t="str">
        <f t="shared" si="1"/>
        <v>T19</v>
      </c>
      <c r="B25" s="31">
        <v>46303.0</v>
      </c>
      <c r="C25" s="48" t="b">
        <v>0</v>
      </c>
      <c r="D25" s="33">
        <v>0.9166666666666666</v>
      </c>
      <c r="E25" s="33">
        <v>0.9583333333333334</v>
      </c>
      <c r="F25" s="32" t="s">
        <v>159</v>
      </c>
      <c r="G25" s="78" t="s">
        <v>132</v>
      </c>
      <c r="H25" s="37" t="s">
        <v>164</v>
      </c>
      <c r="I25" s="32" t="s">
        <v>49</v>
      </c>
      <c r="J25" s="52">
        <f>IFERROR(IF(AND(D25&lt;&gt;"", E25&lt;&gt;""), ROUND(MOD(E25 - D25, 1) * 1440,0), IFERROR(VLOOKUP(H25, 'Dữ liệu'!$X$4:$AA$15, 4, FALSE), "")), "")</f>
        <v>60</v>
      </c>
      <c r="K25" s="41"/>
      <c r="L25" s="42">
        <f t="shared" si="2"/>
        <v>46303</v>
      </c>
      <c r="M25" s="29"/>
      <c r="N25" s="29" t="str">
        <f t="shared" si="4"/>
        <v>Quá hạn</v>
      </c>
    </row>
    <row r="26" ht="21.0" customHeight="1">
      <c r="A26" s="29" t="str">
        <f t="shared" si="1"/>
        <v>T20</v>
      </c>
      <c r="B26" s="31">
        <v>46303.0</v>
      </c>
      <c r="C26" s="48" t="b">
        <v>0</v>
      </c>
      <c r="D26" s="33">
        <v>0.9583333333333334</v>
      </c>
      <c r="E26" s="33">
        <v>0.9965277777777778</v>
      </c>
      <c r="F26" s="32" t="s">
        <v>159</v>
      </c>
      <c r="G26" s="78" t="s">
        <v>132</v>
      </c>
      <c r="H26" s="37" t="s">
        <v>160</v>
      </c>
      <c r="I26" s="32" t="s">
        <v>49</v>
      </c>
      <c r="J26" s="52">
        <f>IFERROR(IF(AND(D26&lt;&gt;"", E26&lt;&gt;""), ROUND(MOD(E26 - D26, 1) * 1440,0), IFERROR(VLOOKUP(H26, 'Dữ liệu'!$X$4:$AA$15, 4, FALSE), "")), "")</f>
        <v>55</v>
      </c>
      <c r="K26" s="41"/>
      <c r="L26" s="42">
        <f t="shared" si="2"/>
        <v>46303</v>
      </c>
      <c r="M26" s="78" t="s">
        <v>165</v>
      </c>
      <c r="N26" s="29" t="str">
        <f t="shared" si="4"/>
        <v>Đã hoàn thành bù</v>
      </c>
    </row>
    <row r="27" ht="21.0" customHeight="1">
      <c r="A27" s="29" t="str">
        <f t="shared" si="1"/>
        <v>T21</v>
      </c>
      <c r="B27" s="31">
        <v>46304.0</v>
      </c>
      <c r="C27" s="48" t="b">
        <v>1</v>
      </c>
      <c r="D27" s="33">
        <v>0.2916666666666667</v>
      </c>
      <c r="E27" s="33">
        <v>0.6458333333333334</v>
      </c>
      <c r="F27" s="32" t="s">
        <v>78</v>
      </c>
      <c r="G27" s="29"/>
      <c r="H27" s="37" t="s">
        <v>79</v>
      </c>
      <c r="I27" s="32" t="s">
        <v>49</v>
      </c>
      <c r="J27" s="52">
        <f>IFERROR(IF(AND(D27&lt;&gt;"", E27&lt;&gt;""), ROUND(MOD(E27 - D27, 1) * 1440,0), IFERROR(VLOOKUP(H27, 'Dữ liệu'!$X$4:$AA$15, 4, FALSE), "")), "")</f>
        <v>510</v>
      </c>
      <c r="K27" s="41"/>
      <c r="L27" s="42">
        <f t="shared" si="2"/>
        <v>46304</v>
      </c>
      <c r="M27" s="29"/>
      <c r="N27" s="29" t="str">
        <f t="shared" si="4"/>
        <v>Hoàn thành</v>
      </c>
    </row>
    <row r="28" ht="21.0" customHeight="1">
      <c r="A28" s="29" t="str">
        <f t="shared" si="1"/>
        <v>T22</v>
      </c>
      <c r="B28" s="31">
        <v>46304.0</v>
      </c>
      <c r="C28" s="48" t="b">
        <v>1</v>
      </c>
      <c r="D28" s="33">
        <v>0.6666666666666666</v>
      </c>
      <c r="E28" s="33">
        <v>0.75</v>
      </c>
      <c r="F28" s="32" t="s">
        <v>80</v>
      </c>
      <c r="G28" s="29"/>
      <c r="H28" s="37" t="s">
        <v>81</v>
      </c>
      <c r="I28" s="32" t="s">
        <v>49</v>
      </c>
      <c r="J28" s="52">
        <f>IFERROR(IF(AND(D28&lt;&gt;"", E28&lt;&gt;""), ROUND(MOD(E28 - D28, 1) * 1440,0), IFERROR(VLOOKUP(H28, 'Dữ liệu'!$X$4:$AA$15, 4, FALSE), "")), "")</f>
        <v>120</v>
      </c>
      <c r="K28" s="41"/>
      <c r="L28" s="42">
        <f t="shared" si="2"/>
        <v>46304</v>
      </c>
      <c r="M28" s="29"/>
      <c r="N28" s="29" t="str">
        <f t="shared" si="4"/>
        <v>Hoàn thành</v>
      </c>
    </row>
    <row r="29" ht="21.0" customHeight="1">
      <c r="A29" s="29" t="str">
        <f t="shared" si="1"/>
        <v>T23</v>
      </c>
      <c r="B29" s="31">
        <v>46304.0</v>
      </c>
      <c r="C29" s="48" t="b">
        <v>1</v>
      </c>
      <c r="D29" s="33">
        <v>0.75</v>
      </c>
      <c r="E29" s="33">
        <v>0.875</v>
      </c>
      <c r="F29" s="32" t="s">
        <v>80</v>
      </c>
      <c r="G29" s="29"/>
      <c r="H29" s="37" t="s">
        <v>147</v>
      </c>
      <c r="I29" s="32" t="s">
        <v>49</v>
      </c>
      <c r="J29" s="52">
        <f>IFERROR(IF(AND(D29&lt;&gt;"", E29&lt;&gt;""), ROUND(MOD(E29 - D29, 1) * 1440,0), IFERROR(VLOOKUP(H29, 'Dữ liệu'!$X$4:$AA$15, 4, FALSE), "")), "")</f>
        <v>180</v>
      </c>
      <c r="K29" s="41"/>
      <c r="L29" s="42">
        <f t="shared" si="2"/>
        <v>46304</v>
      </c>
      <c r="M29" s="29"/>
      <c r="N29" s="29" t="str">
        <f t="shared" si="4"/>
        <v>Hoàn thành</v>
      </c>
    </row>
    <row r="30" ht="21.0" customHeight="1">
      <c r="A30" s="29" t="str">
        <f t="shared" si="1"/>
        <v>T24</v>
      </c>
      <c r="B30" s="31">
        <v>46304.0</v>
      </c>
      <c r="C30" s="48" t="b">
        <v>1</v>
      </c>
      <c r="D30" s="33">
        <v>0.875</v>
      </c>
      <c r="E30" s="33">
        <v>0.9166666666666666</v>
      </c>
      <c r="F30" s="32" t="s">
        <v>45</v>
      </c>
      <c r="G30" s="78" t="s">
        <v>132</v>
      </c>
      <c r="H30" s="37" t="s">
        <v>146</v>
      </c>
      <c r="I30" s="32" t="s">
        <v>144</v>
      </c>
      <c r="J30" s="52">
        <f>IFERROR(IF(AND(D30&lt;&gt;"", E30&lt;&gt;""), ROUND(MOD(E30 - D30, 1) * 1440,0), IFERROR(VLOOKUP(H30, 'Dữ liệu'!$X$4:$AA$15, 4, FALSE), "")), "")</f>
        <v>60</v>
      </c>
      <c r="K30" s="41"/>
      <c r="L30" s="42">
        <f t="shared" si="2"/>
        <v>46304</v>
      </c>
      <c r="M30" s="78" t="s">
        <v>166</v>
      </c>
      <c r="N30" s="29" t="str">
        <f t="shared" si="4"/>
        <v>Hoàn thành bù</v>
      </c>
    </row>
    <row r="31" ht="21.0" customHeight="1">
      <c r="A31" s="29" t="str">
        <f t="shared" si="1"/>
        <v>T25</v>
      </c>
      <c r="B31" s="31">
        <v>46304.0</v>
      </c>
      <c r="C31" s="48" t="b">
        <v>0</v>
      </c>
      <c r="D31" s="33">
        <v>0.9166666666666666</v>
      </c>
      <c r="E31" s="33">
        <v>0.9583333333333334</v>
      </c>
      <c r="F31" s="32" t="s">
        <v>159</v>
      </c>
      <c r="G31" s="78" t="s">
        <v>132</v>
      </c>
      <c r="H31" s="37" t="s">
        <v>164</v>
      </c>
      <c r="I31" s="32" t="s">
        <v>144</v>
      </c>
      <c r="J31" s="52">
        <f>IFERROR(IF(AND(D31&lt;&gt;"", E31&lt;&gt;""), ROUND(MOD(E31 - D31, 1) * 1440,0), IFERROR(VLOOKUP(H31, 'Dữ liệu'!$X$4:$AA$15, 4, FALSE), "")), "")</f>
        <v>60</v>
      </c>
      <c r="K31" s="41"/>
      <c r="L31" s="42">
        <f t="shared" si="2"/>
        <v>46304</v>
      </c>
      <c r="M31" s="78" t="s">
        <v>167</v>
      </c>
      <c r="N31" s="29" t="str">
        <f t="shared" si="4"/>
        <v>Quá hạn</v>
      </c>
    </row>
    <row r="32" ht="21.0" customHeight="1">
      <c r="A32" s="29" t="str">
        <f t="shared" si="1"/>
        <v>T26</v>
      </c>
      <c r="B32" s="31">
        <v>46304.0</v>
      </c>
      <c r="C32" s="48" t="b">
        <v>0</v>
      </c>
      <c r="D32" s="33">
        <v>0.9583333333333334</v>
      </c>
      <c r="E32" s="33">
        <v>0.9965277777777778</v>
      </c>
      <c r="F32" s="32" t="s">
        <v>159</v>
      </c>
      <c r="G32" s="78" t="s">
        <v>132</v>
      </c>
      <c r="H32" s="37" t="s">
        <v>160</v>
      </c>
      <c r="I32" s="32" t="s">
        <v>144</v>
      </c>
      <c r="J32" s="52">
        <f>IFERROR(IF(AND(D32&lt;&gt;"", E32&lt;&gt;""), ROUND(MOD(E32 - D32, 1) * 1440,0), IFERROR(VLOOKUP(H32, 'Dữ liệu'!$X$4:$AA$15, 4, FALSE), "")), "")</f>
        <v>55</v>
      </c>
      <c r="K32" s="41"/>
      <c r="L32" s="42">
        <f t="shared" si="2"/>
        <v>46304</v>
      </c>
      <c r="M32" s="78" t="s">
        <v>168</v>
      </c>
      <c r="N32" s="29" t="str">
        <f t="shared" si="4"/>
        <v>Đã hoàn thành bù</v>
      </c>
    </row>
    <row r="33" ht="21.0" customHeight="1">
      <c r="A33" s="29" t="str">
        <f t="shared" si="1"/>
        <v>T27</v>
      </c>
      <c r="B33" s="31">
        <v>46305.0</v>
      </c>
      <c r="C33" s="48" t="b">
        <v>1</v>
      </c>
      <c r="D33" s="33">
        <v>0.2916666666666667</v>
      </c>
      <c r="E33" s="33">
        <v>0.6458333333333334</v>
      </c>
      <c r="F33" s="32" t="s">
        <v>78</v>
      </c>
      <c r="G33" s="29"/>
      <c r="H33" s="37" t="s">
        <v>79</v>
      </c>
      <c r="I33" s="32" t="s">
        <v>49</v>
      </c>
      <c r="J33" s="52">
        <f>IFERROR(IF(AND(D33&lt;&gt;"", E33&lt;&gt;""), ROUND(MOD(E33 - D33, 1) * 1440,0), IFERROR(VLOOKUP(H33, 'Dữ liệu'!$X$4:$AA$15, 4, FALSE), "")), "")</f>
        <v>510</v>
      </c>
      <c r="K33" s="41"/>
      <c r="L33" s="42">
        <f t="shared" si="2"/>
        <v>46305</v>
      </c>
      <c r="M33" s="29"/>
      <c r="N33" s="29" t="str">
        <f t="shared" si="4"/>
        <v>Hoàn thành</v>
      </c>
    </row>
    <row r="34" ht="21.0" customHeight="1">
      <c r="A34" s="29" t="str">
        <f t="shared" si="1"/>
        <v>T28</v>
      </c>
      <c r="B34" s="31">
        <v>46305.0</v>
      </c>
      <c r="C34" s="48" t="b">
        <v>1</v>
      </c>
      <c r="D34" s="33">
        <v>0.6666666666666666</v>
      </c>
      <c r="E34" s="33">
        <v>0.75</v>
      </c>
      <c r="F34" s="32" t="s">
        <v>80</v>
      </c>
      <c r="G34" s="29"/>
      <c r="H34" s="37" t="s">
        <v>81</v>
      </c>
      <c r="I34" s="32" t="s">
        <v>49</v>
      </c>
      <c r="J34" s="52">
        <f>IFERROR(IF(AND(D34&lt;&gt;"", E34&lt;&gt;""), ROUND(MOD(E34 - D34, 1) * 1440,0), IFERROR(VLOOKUP(H34, 'Dữ liệu'!$X$4:$AA$15, 4, FALSE), "")), "")</f>
        <v>120</v>
      </c>
      <c r="K34" s="41"/>
      <c r="L34" s="42">
        <f t="shared" si="2"/>
        <v>46305</v>
      </c>
      <c r="M34" s="29"/>
      <c r="N34" s="29" t="str">
        <f t="shared" si="4"/>
        <v>Hoàn thành</v>
      </c>
    </row>
    <row r="35" ht="21.0" customHeight="1">
      <c r="A35" s="29" t="str">
        <f t="shared" si="1"/>
        <v>T29</v>
      </c>
      <c r="B35" s="31">
        <v>46305.0</v>
      </c>
      <c r="C35" s="48" t="b">
        <v>1</v>
      </c>
      <c r="D35" s="33">
        <v>0.75</v>
      </c>
      <c r="E35" s="33">
        <v>0.875</v>
      </c>
      <c r="F35" s="32" t="s">
        <v>80</v>
      </c>
      <c r="G35" s="29"/>
      <c r="H35" s="37" t="s">
        <v>147</v>
      </c>
      <c r="I35" s="32" t="s">
        <v>49</v>
      </c>
      <c r="J35" s="52">
        <f>IFERROR(IF(AND(D35&lt;&gt;"", E35&lt;&gt;""), ROUND(MOD(E35 - D35, 1) * 1440,0), IFERROR(VLOOKUP(H35, 'Dữ liệu'!$X$4:$AA$15, 4, FALSE), "")), "")</f>
        <v>180</v>
      </c>
      <c r="K35" s="41"/>
      <c r="L35" s="42">
        <f t="shared" si="2"/>
        <v>46305</v>
      </c>
      <c r="M35" s="29"/>
      <c r="N35" s="29" t="str">
        <f t="shared" si="4"/>
        <v>Hoàn thành</v>
      </c>
    </row>
    <row r="36" ht="21.0" customHeight="1">
      <c r="A36" s="29" t="str">
        <f t="shared" si="1"/>
        <v>T30</v>
      </c>
      <c r="B36" s="31">
        <v>46305.0</v>
      </c>
      <c r="C36" s="48" t="b">
        <v>0</v>
      </c>
      <c r="D36" s="33">
        <v>0.9166666666666666</v>
      </c>
      <c r="E36" s="33">
        <v>0.9583333333333334</v>
      </c>
      <c r="F36" s="32" t="s">
        <v>159</v>
      </c>
      <c r="G36" s="78" t="s">
        <v>132</v>
      </c>
      <c r="H36" s="37" t="s">
        <v>164</v>
      </c>
      <c r="I36" s="32" t="s">
        <v>144</v>
      </c>
      <c r="J36" s="52">
        <f>IFERROR(IF(AND(D36&lt;&gt;"", E36&lt;&gt;""), ROUND(MOD(E36 - D36, 1) * 1440,0), IFERROR(VLOOKUP(H36, 'Dữ liệu'!$X$4:$AA$15, 4, FALSE), "")), "")</f>
        <v>60</v>
      </c>
      <c r="K36" s="41"/>
      <c r="L36" s="42">
        <f t="shared" si="2"/>
        <v>46305</v>
      </c>
      <c r="M36" s="78" t="s">
        <v>170</v>
      </c>
      <c r="N36" s="29" t="str">
        <f t="shared" si="4"/>
        <v>Quá hạn</v>
      </c>
    </row>
    <row r="37" ht="21.0" customHeight="1">
      <c r="A37" s="29" t="str">
        <f t="shared" si="1"/>
        <v>T31</v>
      </c>
      <c r="B37" s="31">
        <v>46305.0</v>
      </c>
      <c r="C37" s="48" t="b">
        <v>1</v>
      </c>
      <c r="D37" s="33">
        <v>0.9583333333333334</v>
      </c>
      <c r="E37" s="33">
        <v>0.9965277777777778</v>
      </c>
      <c r="F37" s="32" t="s">
        <v>159</v>
      </c>
      <c r="G37" s="78" t="s">
        <v>132</v>
      </c>
      <c r="H37" s="37" t="s">
        <v>160</v>
      </c>
      <c r="I37" s="32" t="s">
        <v>144</v>
      </c>
      <c r="J37" s="52">
        <f>IFERROR(IF(AND(D37&lt;&gt;"", E37&lt;&gt;""), ROUND(MOD(E37 - D37, 1) * 1440,0), IFERROR(VLOOKUP(H37, 'Dữ liệu'!$X$4:$AA$15, 4, FALSE), "")), "")</f>
        <v>55</v>
      </c>
      <c r="K37" s="41"/>
      <c r="L37" s="42">
        <f t="shared" si="2"/>
        <v>46305</v>
      </c>
      <c r="M37" s="78" t="s">
        <v>173</v>
      </c>
      <c r="N37" s="29" t="str">
        <f t="shared" si="4"/>
        <v>Hoàn thành bù</v>
      </c>
    </row>
    <row r="38" ht="21.0" customHeight="1">
      <c r="A38" s="29" t="str">
        <f t="shared" si="1"/>
        <v>T32</v>
      </c>
      <c r="B38" s="31">
        <v>46307.0</v>
      </c>
      <c r="C38" s="117" t="b">
        <v>0</v>
      </c>
      <c r="D38" s="33">
        <v>0.2916666666666667</v>
      </c>
      <c r="E38" s="33">
        <v>0.6458333333333334</v>
      </c>
      <c r="F38" s="32" t="s">
        <v>78</v>
      </c>
      <c r="G38" s="29"/>
      <c r="H38" s="37" t="s">
        <v>79</v>
      </c>
      <c r="I38" s="32" t="s">
        <v>49</v>
      </c>
      <c r="J38" s="52">
        <f>IFERROR(IF(AND(D38&lt;&gt;"", E38&lt;&gt;""), ROUND(MOD(E38 - D38, 1) * 1440,0), IFERROR(VLOOKUP(H38, 'Dữ liệu'!$X$4:$AA$15, 4, FALSE), "")), "")</f>
        <v>510</v>
      </c>
      <c r="K38" s="41"/>
      <c r="L38" s="42">
        <f t="shared" si="2"/>
        <v>46307</v>
      </c>
      <c r="M38" s="29"/>
      <c r="N38" s="29" t="str">
        <f t="shared" si="4"/>
        <v>Đang thực hiện</v>
      </c>
    </row>
    <row r="39" ht="21.0" customHeight="1">
      <c r="A39" s="29" t="str">
        <f t="shared" si="1"/>
        <v>T33</v>
      </c>
      <c r="B39" s="31">
        <v>46307.0</v>
      </c>
      <c r="C39" s="117" t="b">
        <v>0</v>
      </c>
      <c r="D39" s="33">
        <v>0.6666666666666666</v>
      </c>
      <c r="E39" s="33">
        <v>0.75</v>
      </c>
      <c r="F39" s="32" t="s">
        <v>80</v>
      </c>
      <c r="G39" s="29"/>
      <c r="H39" s="37" t="s">
        <v>81</v>
      </c>
      <c r="I39" s="32" t="s">
        <v>49</v>
      </c>
      <c r="J39" s="52">
        <f>IFERROR(IF(AND(D39&lt;&gt;"", E39&lt;&gt;""), ROUND(MOD(E39 - D39, 1) * 1440,0), IFERROR(VLOOKUP(H39, 'Dữ liệu'!$X$4:$AA$15, 4, FALSE), "")), "")</f>
        <v>120</v>
      </c>
      <c r="K39" s="41"/>
      <c r="L39" s="42">
        <f t="shared" si="2"/>
        <v>46307</v>
      </c>
      <c r="M39" s="29"/>
      <c r="N39" s="29" t="str">
        <f t="shared" si="4"/>
        <v>Đang thực hiện</v>
      </c>
    </row>
    <row r="40" ht="21.0" customHeight="1">
      <c r="A40" s="29" t="str">
        <f t="shared" si="1"/>
        <v>T34</v>
      </c>
      <c r="B40" s="31">
        <v>46307.0</v>
      </c>
      <c r="C40" s="117" t="b">
        <v>0</v>
      </c>
      <c r="D40" s="33">
        <v>0.75</v>
      </c>
      <c r="E40" s="33">
        <v>0.875</v>
      </c>
      <c r="F40" s="32" t="s">
        <v>80</v>
      </c>
      <c r="G40" s="29"/>
      <c r="H40" s="37" t="s">
        <v>147</v>
      </c>
      <c r="I40" s="32" t="s">
        <v>49</v>
      </c>
      <c r="J40" s="52">
        <f>IFERROR(IF(AND(D40&lt;&gt;"", E40&lt;&gt;""), ROUND(MOD(E40 - D40, 1) * 1440,0), IFERROR(VLOOKUP(H40, 'Dữ liệu'!$X$4:$AA$15, 4, FALSE), "")), "")</f>
        <v>180</v>
      </c>
      <c r="K40" s="41"/>
      <c r="L40" s="42">
        <f t="shared" si="2"/>
        <v>46307</v>
      </c>
      <c r="M40" s="29"/>
      <c r="N40" s="29" t="str">
        <f t="shared" si="4"/>
        <v>Đang thực hiện</v>
      </c>
    </row>
    <row r="41" ht="21.0" customHeight="1">
      <c r="A41" s="29" t="str">
        <f t="shared" si="1"/>
        <v>T35</v>
      </c>
      <c r="B41" s="31">
        <v>46307.0</v>
      </c>
      <c r="C41" s="48" t="b">
        <v>0</v>
      </c>
      <c r="D41" s="33">
        <v>0.9166666666666666</v>
      </c>
      <c r="E41" s="33">
        <v>0.9583333333333334</v>
      </c>
      <c r="F41" s="32" t="s">
        <v>159</v>
      </c>
      <c r="G41" s="78" t="s">
        <v>132</v>
      </c>
      <c r="H41" s="37" t="s">
        <v>164</v>
      </c>
      <c r="I41" s="32" t="s">
        <v>144</v>
      </c>
      <c r="J41" s="52">
        <f>IFERROR(IF(AND(D41&lt;&gt;"", E41&lt;&gt;""), ROUND(MOD(E41 - D41, 1) * 1440,0), IFERROR(VLOOKUP(H41, 'Dữ liệu'!$X$4:$AA$15, 4, FALSE), "")), "")</f>
        <v>60</v>
      </c>
      <c r="K41" s="41"/>
      <c r="L41" s="42">
        <f t="shared" si="2"/>
        <v>46307</v>
      </c>
      <c r="M41" s="78" t="s">
        <v>180</v>
      </c>
      <c r="N41" s="29" t="str">
        <f t="shared" si="4"/>
        <v>Đang thực hiện</v>
      </c>
    </row>
    <row r="42" ht="21.0" customHeight="1">
      <c r="A42" s="29" t="str">
        <f t="shared" si="1"/>
        <v/>
      </c>
      <c r="B42" s="42"/>
      <c r="C42" s="117" t="b">
        <v>0</v>
      </c>
      <c r="D42" s="140"/>
      <c r="E42" s="140"/>
      <c r="F42" s="141"/>
      <c r="G42" s="29"/>
      <c r="H42" s="41"/>
      <c r="I42" s="141"/>
      <c r="J42" s="52" t="str">
        <f>IFERROR(IF(AND(D42&lt;&gt;"", E42&lt;&gt;""), ROUND(MOD(E42 - D42, 1) * 1440,0), IFERROR(VLOOKUP(H42, 'Dữ liệu'!$X$4:$AA$15, 4, FALSE), "")), "")</f>
        <v/>
      </c>
      <c r="K42" s="41"/>
      <c r="L42" s="42" t="str">
        <f t="shared" si="2"/>
        <v/>
      </c>
      <c r="M42" s="29"/>
      <c r="N42" s="29" t="str">
        <f t="shared" si="4"/>
        <v/>
      </c>
    </row>
    <row r="43" ht="21.0" customHeight="1">
      <c r="A43" s="29" t="str">
        <f t="shared" si="1"/>
        <v/>
      </c>
      <c r="B43" s="42"/>
      <c r="C43" s="117" t="b">
        <v>0</v>
      </c>
      <c r="D43" s="140"/>
      <c r="E43" s="140"/>
      <c r="F43" s="141"/>
      <c r="G43" s="29"/>
      <c r="H43" s="41"/>
      <c r="I43" s="141"/>
      <c r="J43" s="52" t="str">
        <f>IFERROR(IF(AND(D43&lt;&gt;"", E43&lt;&gt;""), ROUND(MOD(E43 - D43, 1) * 1440,0), IFERROR(VLOOKUP(H43, 'Dữ liệu'!$X$4:$AA$15, 4, FALSE), "")), "")</f>
        <v/>
      </c>
      <c r="K43" s="41"/>
      <c r="L43" s="42" t="str">
        <f t="shared" si="2"/>
        <v/>
      </c>
      <c r="M43" s="29"/>
      <c r="N43" s="29" t="str">
        <f t="shared" si="4"/>
        <v/>
      </c>
    </row>
    <row r="44" ht="21.0" customHeight="1">
      <c r="A44" s="29" t="str">
        <f t="shared" si="1"/>
        <v/>
      </c>
      <c r="B44" s="42"/>
      <c r="C44" s="117" t="b">
        <v>0</v>
      </c>
      <c r="D44" s="140"/>
      <c r="E44" s="140"/>
      <c r="F44" s="141"/>
      <c r="G44" s="29"/>
      <c r="H44" s="41"/>
      <c r="I44" s="141"/>
      <c r="J44" s="52" t="str">
        <f>IFERROR(IF(AND(D44&lt;&gt;"", E44&lt;&gt;""), ROUND(MOD(E44 - D44, 1) * 1440,0), IFERROR(VLOOKUP(H44, 'Dữ liệu'!$X$4:$AA$15, 4, FALSE), "")), "")</f>
        <v/>
      </c>
      <c r="K44" s="41"/>
      <c r="L44" s="42" t="str">
        <f t="shared" si="2"/>
        <v/>
      </c>
      <c r="M44" s="29"/>
      <c r="N44" s="29" t="str">
        <f t="shared" si="4"/>
        <v/>
      </c>
    </row>
    <row r="45" ht="21.0" customHeight="1">
      <c r="A45" s="29" t="str">
        <f t="shared" si="1"/>
        <v/>
      </c>
      <c r="B45" s="42"/>
      <c r="C45" s="117" t="b">
        <v>0</v>
      </c>
      <c r="D45" s="140"/>
      <c r="E45" s="140"/>
      <c r="F45" s="141"/>
      <c r="G45" s="29"/>
      <c r="H45" s="41"/>
      <c r="I45" s="141"/>
      <c r="J45" s="52" t="str">
        <f>IFERROR(IF(AND(D45&lt;&gt;"", E45&lt;&gt;""), ROUND(MOD(E45 - D45, 1) * 1440,0), IFERROR(VLOOKUP(H45, 'Dữ liệu'!$X$4:$AA$15, 4, FALSE), "")), "")</f>
        <v/>
      </c>
      <c r="K45" s="41"/>
      <c r="L45" s="42" t="str">
        <f t="shared" si="2"/>
        <v/>
      </c>
      <c r="M45" s="29"/>
      <c r="N45" s="29" t="str">
        <f t="shared" si="4"/>
        <v/>
      </c>
    </row>
    <row r="46" ht="21.0" customHeight="1">
      <c r="A46" s="29" t="str">
        <f t="shared" si="1"/>
        <v/>
      </c>
      <c r="B46" s="42"/>
      <c r="C46" s="117" t="b">
        <v>0</v>
      </c>
      <c r="D46" s="140"/>
      <c r="E46" s="140"/>
      <c r="F46" s="141"/>
      <c r="G46" s="29"/>
      <c r="H46" s="41"/>
      <c r="I46" s="141"/>
      <c r="J46" s="52" t="str">
        <f>IFERROR(IF(AND(D46&lt;&gt;"", E46&lt;&gt;""), ROUND(MOD(E46 - D46, 1) * 1440,0), IFERROR(VLOOKUP(H46, 'Dữ liệu'!$X$4:$AA$15, 4, FALSE), "")), "")</f>
        <v/>
      </c>
      <c r="K46" s="41"/>
      <c r="L46" s="42" t="str">
        <f t="shared" si="2"/>
        <v/>
      </c>
      <c r="M46" s="29"/>
      <c r="N46" s="29" t="str">
        <f t="shared" si="4"/>
        <v/>
      </c>
    </row>
    <row r="47" ht="21.0" customHeight="1">
      <c r="A47" s="29" t="str">
        <f t="shared" si="1"/>
        <v/>
      </c>
      <c r="B47" s="42"/>
      <c r="C47" s="117" t="b">
        <v>0</v>
      </c>
      <c r="D47" s="140"/>
      <c r="E47" s="140"/>
      <c r="F47" s="141"/>
      <c r="G47" s="29"/>
      <c r="H47" s="41"/>
      <c r="I47" s="141"/>
      <c r="J47" s="52" t="str">
        <f>IFERROR(IF(AND(D47&lt;&gt;"", E47&lt;&gt;""), ROUND(MOD(E47 - D47, 1) * 1440,0), IFERROR(VLOOKUP(H47, 'Dữ liệu'!$X$4:$AA$15, 4, FALSE), "")), "")</f>
        <v/>
      </c>
      <c r="K47" s="41"/>
      <c r="L47" s="42" t="str">
        <f t="shared" si="2"/>
        <v/>
      </c>
      <c r="M47" s="29"/>
      <c r="N47" s="29" t="str">
        <f t="shared" si="4"/>
        <v/>
      </c>
    </row>
    <row r="48" ht="21.0" customHeight="1">
      <c r="A48" s="29" t="str">
        <f t="shared" si="1"/>
        <v/>
      </c>
      <c r="B48" s="42"/>
      <c r="C48" s="117" t="b">
        <v>0</v>
      </c>
      <c r="D48" s="140"/>
      <c r="E48" s="140"/>
      <c r="F48" s="141"/>
      <c r="G48" s="29"/>
      <c r="H48" s="41"/>
      <c r="I48" s="141"/>
      <c r="J48" s="52" t="str">
        <f>IFERROR(IF(AND(D48&lt;&gt;"", E48&lt;&gt;""), ROUND(MOD(E48 - D48, 1) * 1440,0), IFERROR(VLOOKUP(H48, 'Dữ liệu'!$X$4:$AA$15, 4, FALSE), "")), "")</f>
        <v/>
      </c>
      <c r="K48" s="41"/>
      <c r="L48" s="42" t="str">
        <f t="shared" si="2"/>
        <v/>
      </c>
      <c r="M48" s="29"/>
      <c r="N48" s="29" t="str">
        <f t="shared" si="4"/>
        <v/>
      </c>
    </row>
    <row r="49" ht="21.0" customHeight="1">
      <c r="A49" s="29" t="str">
        <f t="shared" si="1"/>
        <v/>
      </c>
      <c r="B49" s="42"/>
      <c r="C49" s="117" t="b">
        <v>0</v>
      </c>
      <c r="D49" s="140"/>
      <c r="E49" s="140"/>
      <c r="F49" s="141"/>
      <c r="G49" s="29"/>
      <c r="H49" s="41"/>
      <c r="I49" s="141"/>
      <c r="J49" s="52" t="str">
        <f>IFERROR(IF(AND(D49&lt;&gt;"", E49&lt;&gt;""), ROUND(MOD(E49 - D49, 1) * 1440,0), IFERROR(VLOOKUP(H49, 'Dữ liệu'!$X$4:$AA$15, 4, FALSE), "")), "")</f>
        <v/>
      </c>
      <c r="K49" s="41"/>
      <c r="L49" s="42" t="str">
        <f t="shared" si="2"/>
        <v/>
      </c>
      <c r="M49" s="29"/>
      <c r="N49" s="29" t="str">
        <f t="shared" si="4"/>
        <v/>
      </c>
    </row>
    <row r="50" ht="21.0" customHeight="1">
      <c r="A50" s="150"/>
      <c r="B50" s="42"/>
      <c r="C50" s="151"/>
      <c r="D50" s="29"/>
      <c r="E50" s="29"/>
      <c r="F50" s="141"/>
      <c r="G50" s="29"/>
      <c r="H50" s="41"/>
      <c r="I50" s="141"/>
      <c r="J50" s="52" t="str">
        <f t="shared" ref="J50:J86" si="5">IFERROR(IF(OR(D50="", E50=""), "", ROUND(MOD(E50 - D50, 1) * 1440,0)), "")</f>
        <v/>
      </c>
      <c r="K50" s="41"/>
    </row>
    <row r="51" ht="21.0" customHeight="1">
      <c r="A51" s="150"/>
      <c r="B51" s="42"/>
      <c r="C51" s="151"/>
      <c r="D51" s="29"/>
      <c r="E51" s="29"/>
      <c r="F51" s="141"/>
      <c r="G51" s="29"/>
      <c r="H51" s="41"/>
      <c r="I51" s="141"/>
      <c r="J51" s="52" t="str">
        <f t="shared" si="5"/>
        <v/>
      </c>
      <c r="K51" s="41"/>
    </row>
    <row r="52" ht="21.0" customHeight="1">
      <c r="A52" s="150"/>
      <c r="B52" s="42"/>
      <c r="C52" s="151"/>
      <c r="D52" s="29"/>
      <c r="E52" s="29"/>
      <c r="F52" s="141"/>
      <c r="G52" s="29"/>
      <c r="H52" s="41"/>
      <c r="I52" s="141"/>
      <c r="J52" s="52" t="str">
        <f t="shared" si="5"/>
        <v/>
      </c>
      <c r="K52" s="41"/>
    </row>
    <row r="53" ht="21.0" customHeight="1">
      <c r="A53" s="150"/>
      <c r="B53" s="42"/>
      <c r="C53" s="151"/>
      <c r="D53" s="29"/>
      <c r="E53" s="29"/>
      <c r="F53" s="141"/>
      <c r="G53" s="29"/>
      <c r="H53" s="41"/>
      <c r="I53" s="141"/>
      <c r="J53" s="52" t="str">
        <f t="shared" si="5"/>
        <v/>
      </c>
      <c r="K53" s="41"/>
    </row>
    <row r="54" ht="21.0" customHeight="1">
      <c r="A54" s="150"/>
      <c r="B54" s="42"/>
      <c r="C54" s="151"/>
      <c r="D54" s="29"/>
      <c r="E54" s="29"/>
      <c r="F54" s="141"/>
      <c r="G54" s="29"/>
      <c r="H54" s="41"/>
      <c r="I54" s="141"/>
      <c r="J54" s="52" t="str">
        <f t="shared" si="5"/>
        <v/>
      </c>
      <c r="K54" s="41"/>
    </row>
    <row r="55" ht="21.0" customHeight="1">
      <c r="A55" s="150"/>
      <c r="B55" s="42"/>
      <c r="C55" s="151"/>
      <c r="D55" s="29"/>
      <c r="E55" s="29"/>
      <c r="F55" s="141"/>
      <c r="G55" s="29"/>
      <c r="H55" s="41"/>
      <c r="I55" s="141"/>
      <c r="J55" s="52" t="str">
        <f t="shared" si="5"/>
        <v/>
      </c>
      <c r="K55" s="41"/>
    </row>
    <row r="56" ht="21.0" customHeight="1">
      <c r="A56" s="150"/>
      <c r="B56" s="42"/>
      <c r="C56" s="151"/>
      <c r="D56" s="29"/>
      <c r="E56" s="29"/>
      <c r="F56" s="141"/>
      <c r="G56" s="29"/>
      <c r="H56" s="41"/>
      <c r="I56" s="141"/>
      <c r="J56" s="52" t="str">
        <f t="shared" si="5"/>
        <v/>
      </c>
      <c r="K56" s="41"/>
    </row>
    <row r="57" ht="21.0" customHeight="1">
      <c r="A57" s="150"/>
      <c r="B57" s="42"/>
      <c r="C57" s="151"/>
      <c r="D57" s="29"/>
      <c r="E57" s="29"/>
      <c r="F57" s="141"/>
      <c r="G57" s="29"/>
      <c r="H57" s="41"/>
      <c r="I57" s="141"/>
      <c r="J57" s="52" t="str">
        <f t="shared" si="5"/>
        <v/>
      </c>
      <c r="K57" s="41"/>
    </row>
    <row r="58" ht="21.0" customHeight="1">
      <c r="A58" s="150"/>
      <c r="B58" s="42"/>
      <c r="C58" s="151"/>
      <c r="D58" s="29"/>
      <c r="E58" s="29"/>
      <c r="F58" s="141"/>
      <c r="G58" s="29"/>
      <c r="H58" s="41"/>
      <c r="I58" s="141"/>
      <c r="J58" s="52" t="str">
        <f t="shared" si="5"/>
        <v/>
      </c>
      <c r="K58" s="41"/>
    </row>
    <row r="59" ht="21.0" customHeight="1">
      <c r="A59" s="150"/>
      <c r="B59" s="42"/>
      <c r="C59" s="151"/>
      <c r="D59" s="29"/>
      <c r="E59" s="29"/>
      <c r="F59" s="141"/>
      <c r="G59" s="29"/>
      <c r="H59" s="41"/>
      <c r="I59" s="141"/>
      <c r="J59" s="52" t="str">
        <f t="shared" si="5"/>
        <v/>
      </c>
      <c r="K59" s="41"/>
    </row>
    <row r="60" ht="21.0" customHeight="1">
      <c r="A60" s="150"/>
      <c r="B60" s="42"/>
      <c r="C60" s="151"/>
      <c r="D60" s="29"/>
      <c r="E60" s="29"/>
      <c r="F60" s="141"/>
      <c r="G60" s="29"/>
      <c r="H60" s="41"/>
      <c r="I60" s="141"/>
      <c r="J60" s="52" t="str">
        <f t="shared" si="5"/>
        <v/>
      </c>
      <c r="K60" s="41"/>
    </row>
    <row r="61" ht="21.0" customHeight="1">
      <c r="A61" s="150"/>
      <c r="B61" s="42"/>
      <c r="C61" s="151"/>
      <c r="D61" s="29"/>
      <c r="E61" s="29"/>
      <c r="F61" s="141"/>
      <c r="G61" s="29"/>
      <c r="H61" s="41"/>
      <c r="I61" s="141"/>
      <c r="J61" s="52" t="str">
        <f t="shared" si="5"/>
        <v/>
      </c>
      <c r="K61" s="41"/>
    </row>
    <row r="62" ht="21.0" customHeight="1">
      <c r="A62" s="150"/>
      <c r="B62" s="42"/>
      <c r="C62" s="151"/>
      <c r="D62" s="29"/>
      <c r="E62" s="29"/>
      <c r="F62" s="141"/>
      <c r="G62" s="29"/>
      <c r="H62" s="41"/>
      <c r="I62" s="141"/>
      <c r="J62" s="52" t="str">
        <f t="shared" si="5"/>
        <v/>
      </c>
      <c r="K62" s="41"/>
    </row>
    <row r="63" ht="21.0" customHeight="1">
      <c r="A63" s="150"/>
      <c r="B63" s="42"/>
      <c r="C63" s="151"/>
      <c r="D63" s="29"/>
      <c r="E63" s="29"/>
      <c r="F63" s="141"/>
      <c r="G63" s="29"/>
      <c r="H63" s="41"/>
      <c r="I63" s="141"/>
      <c r="J63" s="52" t="str">
        <f t="shared" si="5"/>
        <v/>
      </c>
      <c r="K63" s="41"/>
    </row>
    <row r="64" ht="21.0" customHeight="1">
      <c r="A64" s="150"/>
      <c r="B64" s="42"/>
      <c r="C64" s="151"/>
      <c r="D64" s="29"/>
      <c r="E64" s="29"/>
      <c r="F64" s="141"/>
      <c r="G64" s="29"/>
      <c r="H64" s="41"/>
      <c r="I64" s="141"/>
      <c r="J64" s="52" t="str">
        <f t="shared" si="5"/>
        <v/>
      </c>
      <c r="K64" s="41"/>
    </row>
    <row r="65" ht="21.0" customHeight="1">
      <c r="A65" s="150"/>
      <c r="B65" s="42"/>
      <c r="C65" s="151"/>
      <c r="D65" s="29"/>
      <c r="E65" s="29"/>
      <c r="F65" s="141"/>
      <c r="G65" s="29"/>
      <c r="H65" s="41"/>
      <c r="I65" s="141"/>
      <c r="J65" s="52" t="str">
        <f t="shared" si="5"/>
        <v/>
      </c>
      <c r="K65" s="41"/>
    </row>
    <row r="66" ht="21.0" customHeight="1">
      <c r="A66" s="150"/>
      <c r="B66" s="42"/>
      <c r="C66" s="151"/>
      <c r="D66" s="29"/>
      <c r="E66" s="29"/>
      <c r="F66" s="141"/>
      <c r="G66" s="29"/>
      <c r="H66" s="41"/>
      <c r="I66" s="141"/>
      <c r="J66" s="52" t="str">
        <f t="shared" si="5"/>
        <v/>
      </c>
      <c r="K66" s="41"/>
    </row>
    <row r="67" ht="21.0" customHeight="1">
      <c r="A67" s="150"/>
      <c r="B67" s="42"/>
      <c r="C67" s="151"/>
      <c r="D67" s="29"/>
      <c r="E67" s="29"/>
      <c r="F67" s="141"/>
      <c r="G67" s="29"/>
      <c r="H67" s="41"/>
      <c r="I67" s="141"/>
      <c r="J67" s="52" t="str">
        <f t="shared" si="5"/>
        <v/>
      </c>
      <c r="K67" s="41"/>
    </row>
    <row r="68" ht="21.0" customHeight="1">
      <c r="A68" s="150"/>
      <c r="B68" s="42"/>
      <c r="C68" s="151"/>
      <c r="D68" s="29"/>
      <c r="E68" s="29"/>
      <c r="F68" s="141"/>
      <c r="G68" s="29"/>
      <c r="H68" s="41"/>
      <c r="I68" s="141"/>
      <c r="J68" s="52" t="str">
        <f t="shared" si="5"/>
        <v/>
      </c>
      <c r="K68" s="41"/>
    </row>
    <row r="69" ht="21.0" customHeight="1">
      <c r="A69" s="150"/>
      <c r="B69" s="42"/>
      <c r="C69" s="151"/>
      <c r="D69" s="29"/>
      <c r="E69" s="29"/>
      <c r="F69" s="141"/>
      <c r="G69" s="29"/>
      <c r="H69" s="41"/>
      <c r="I69" s="141"/>
      <c r="J69" s="52" t="str">
        <f t="shared" si="5"/>
        <v/>
      </c>
      <c r="K69" s="41"/>
    </row>
    <row r="70" ht="21.0" customHeight="1">
      <c r="A70" s="150"/>
      <c r="B70" s="42"/>
      <c r="C70" s="151"/>
      <c r="D70" s="29"/>
      <c r="E70" s="29"/>
      <c r="F70" s="141"/>
      <c r="G70" s="29"/>
      <c r="H70" s="41"/>
      <c r="I70" s="141"/>
      <c r="J70" s="52" t="str">
        <f t="shared" si="5"/>
        <v/>
      </c>
      <c r="K70" s="41"/>
    </row>
    <row r="71" ht="21.0" customHeight="1">
      <c r="A71" s="150"/>
      <c r="B71" s="42"/>
      <c r="C71" s="151"/>
      <c r="D71" s="29"/>
      <c r="E71" s="29"/>
      <c r="F71" s="141"/>
      <c r="G71" s="29"/>
      <c r="H71" s="41"/>
      <c r="I71" s="141"/>
      <c r="J71" s="52" t="str">
        <f t="shared" si="5"/>
        <v/>
      </c>
      <c r="K71" s="41"/>
    </row>
    <row r="72" ht="21.0" customHeight="1">
      <c r="A72" s="150"/>
      <c r="B72" s="42"/>
      <c r="C72" s="151"/>
      <c r="D72" s="29"/>
      <c r="E72" s="29"/>
      <c r="F72" s="141"/>
      <c r="G72" s="29"/>
      <c r="H72" s="41"/>
      <c r="I72" s="141"/>
      <c r="J72" s="52" t="str">
        <f t="shared" si="5"/>
        <v/>
      </c>
      <c r="K72" s="41"/>
    </row>
    <row r="73" ht="21.0" customHeight="1">
      <c r="A73" s="150"/>
      <c r="B73" s="42"/>
      <c r="C73" s="151"/>
      <c r="D73" s="29"/>
      <c r="E73" s="29"/>
      <c r="F73" s="141"/>
      <c r="G73" s="29"/>
      <c r="H73" s="41"/>
      <c r="I73" s="141"/>
      <c r="J73" s="52" t="str">
        <f t="shared" si="5"/>
        <v/>
      </c>
      <c r="K73" s="41"/>
    </row>
    <row r="74" ht="21.0" customHeight="1">
      <c r="A74" s="150"/>
      <c r="B74" s="42"/>
      <c r="C74" s="151"/>
      <c r="D74" s="29"/>
      <c r="E74" s="29"/>
      <c r="F74" s="141"/>
      <c r="G74" s="29"/>
      <c r="H74" s="41"/>
      <c r="I74" s="141"/>
      <c r="J74" s="52" t="str">
        <f t="shared" si="5"/>
        <v/>
      </c>
      <c r="K74" s="41"/>
    </row>
    <row r="75" ht="21.0" customHeight="1">
      <c r="A75" s="150"/>
      <c r="B75" s="42"/>
      <c r="C75" s="151"/>
      <c r="D75" s="29"/>
      <c r="E75" s="29"/>
      <c r="F75" s="141"/>
      <c r="G75" s="29"/>
      <c r="H75" s="41"/>
      <c r="I75" s="141"/>
      <c r="J75" s="52" t="str">
        <f t="shared" si="5"/>
        <v/>
      </c>
      <c r="K75" s="41"/>
    </row>
    <row r="76" ht="21.0" customHeight="1">
      <c r="A76" s="150"/>
      <c r="B76" s="42"/>
      <c r="C76" s="151"/>
      <c r="D76" s="29"/>
      <c r="E76" s="29"/>
      <c r="F76" s="141"/>
      <c r="G76" s="29"/>
      <c r="H76" s="41"/>
      <c r="I76" s="141"/>
      <c r="J76" s="52" t="str">
        <f t="shared" si="5"/>
        <v/>
      </c>
      <c r="K76" s="41"/>
    </row>
    <row r="77" ht="21.0" customHeight="1">
      <c r="A77" s="150"/>
      <c r="B77" s="42"/>
      <c r="C77" s="151"/>
      <c r="D77" s="29"/>
      <c r="E77" s="29"/>
      <c r="F77" s="141"/>
      <c r="G77" s="29"/>
      <c r="H77" s="41"/>
      <c r="I77" s="141"/>
      <c r="J77" s="52" t="str">
        <f t="shared" si="5"/>
        <v/>
      </c>
      <c r="K77" s="41"/>
    </row>
    <row r="78" ht="21.0" customHeight="1">
      <c r="A78" s="150"/>
      <c r="B78" s="42"/>
      <c r="C78" s="151"/>
      <c r="D78" s="29"/>
      <c r="E78" s="29"/>
      <c r="F78" s="141"/>
      <c r="G78" s="29"/>
      <c r="H78" s="41"/>
      <c r="I78" s="141"/>
      <c r="J78" s="52" t="str">
        <f t="shared" si="5"/>
        <v/>
      </c>
      <c r="K78" s="41"/>
    </row>
    <row r="79" ht="21.0" customHeight="1">
      <c r="A79" s="150"/>
      <c r="B79" s="42"/>
      <c r="C79" s="151"/>
      <c r="D79" s="29"/>
      <c r="E79" s="29"/>
      <c r="F79" s="141"/>
      <c r="G79" s="29"/>
      <c r="H79" s="41"/>
      <c r="I79" s="141"/>
      <c r="J79" s="52" t="str">
        <f t="shared" si="5"/>
        <v/>
      </c>
      <c r="K79" s="41"/>
    </row>
    <row r="80" ht="21.0" customHeight="1">
      <c r="A80" s="150"/>
      <c r="B80" s="42"/>
      <c r="C80" s="151"/>
      <c r="D80" s="29"/>
      <c r="E80" s="29"/>
      <c r="F80" s="141"/>
      <c r="G80" s="29"/>
      <c r="H80" s="41"/>
      <c r="I80" s="141"/>
      <c r="J80" s="52" t="str">
        <f t="shared" si="5"/>
        <v/>
      </c>
      <c r="K80" s="41"/>
    </row>
    <row r="81" ht="21.0" customHeight="1">
      <c r="A81" s="150"/>
      <c r="B81" s="42"/>
      <c r="C81" s="151"/>
      <c r="D81" s="29"/>
      <c r="E81" s="29"/>
      <c r="F81" s="141"/>
      <c r="G81" s="29"/>
      <c r="H81" s="41"/>
      <c r="I81" s="141"/>
      <c r="J81" s="52" t="str">
        <f t="shared" si="5"/>
        <v/>
      </c>
      <c r="K81" s="41"/>
    </row>
    <row r="82" ht="21.0" customHeight="1">
      <c r="A82" s="150"/>
      <c r="B82" s="42"/>
      <c r="C82" s="151"/>
      <c r="D82" s="29"/>
      <c r="E82" s="29"/>
      <c r="F82" s="141"/>
      <c r="G82" s="29"/>
      <c r="H82" s="41"/>
      <c r="I82" s="141"/>
      <c r="J82" s="52" t="str">
        <f t="shared" si="5"/>
        <v/>
      </c>
      <c r="K82" s="41"/>
    </row>
    <row r="83" ht="21.0" customHeight="1">
      <c r="A83" s="150"/>
      <c r="B83" s="42"/>
      <c r="C83" s="151"/>
      <c r="D83" s="29"/>
      <c r="E83" s="29"/>
      <c r="F83" s="141"/>
      <c r="G83" s="29"/>
      <c r="H83" s="41"/>
      <c r="I83" s="141"/>
      <c r="J83" s="52" t="str">
        <f t="shared" si="5"/>
        <v/>
      </c>
      <c r="K83" s="41"/>
    </row>
    <row r="84" ht="21.0" customHeight="1">
      <c r="A84" s="150"/>
      <c r="B84" s="42"/>
      <c r="C84" s="151"/>
      <c r="D84" s="29"/>
      <c r="E84" s="29"/>
      <c r="F84" s="141"/>
      <c r="G84" s="29"/>
      <c r="H84" s="41"/>
      <c r="I84" s="141"/>
      <c r="J84" s="52" t="str">
        <f t="shared" si="5"/>
        <v/>
      </c>
      <c r="K84" s="41"/>
    </row>
    <row r="85" ht="21.0" customHeight="1">
      <c r="A85" s="150"/>
      <c r="B85" s="42"/>
      <c r="C85" s="151"/>
      <c r="D85" s="29"/>
      <c r="E85" s="29"/>
      <c r="F85" s="141"/>
      <c r="G85" s="29"/>
      <c r="H85" s="41"/>
      <c r="I85" s="141"/>
      <c r="J85" s="52" t="str">
        <f t="shared" si="5"/>
        <v/>
      </c>
      <c r="K85" s="41"/>
    </row>
    <row r="86" ht="21.0" customHeight="1">
      <c r="A86" s="150"/>
      <c r="B86" s="42"/>
      <c r="C86" s="151"/>
      <c r="D86" s="29"/>
      <c r="E86" s="29"/>
      <c r="F86" s="141"/>
      <c r="G86" s="29"/>
      <c r="H86" s="41"/>
      <c r="I86" s="141"/>
      <c r="J86" s="52" t="str">
        <f t="shared" si="5"/>
        <v/>
      </c>
      <c r="K86" s="41"/>
    </row>
    <row r="87">
      <c r="G87" s="29"/>
    </row>
    <row r="88">
      <c r="G88" s="29"/>
    </row>
    <row r="89">
      <c r="G89" s="29"/>
    </row>
    <row r="90">
      <c r="G90" s="29"/>
    </row>
    <row r="91">
      <c r="G91" s="29"/>
    </row>
    <row r="92">
      <c r="G92" s="29"/>
    </row>
    <row r="93">
      <c r="G93" s="29"/>
    </row>
    <row r="94">
      <c r="G94" s="29"/>
    </row>
    <row r="95">
      <c r="G95" s="29"/>
    </row>
    <row r="96">
      <c r="G96" s="29"/>
    </row>
    <row r="97">
      <c r="G97" s="29"/>
    </row>
    <row r="98">
      <c r="G98" s="29"/>
    </row>
    <row r="99">
      <c r="G99" s="29"/>
    </row>
    <row r="100">
      <c r="G100" s="29"/>
    </row>
    <row r="101">
      <c r="G101" s="29"/>
    </row>
    <row r="102">
      <c r="G102" s="29"/>
    </row>
    <row r="103">
      <c r="G103" s="29"/>
    </row>
    <row r="104">
      <c r="G104" s="29"/>
    </row>
    <row r="105">
      <c r="G105" s="29"/>
    </row>
    <row r="106">
      <c r="G106" s="29"/>
    </row>
    <row r="107">
      <c r="G107" s="29"/>
    </row>
    <row r="108">
      <c r="G108" s="29"/>
    </row>
    <row r="109">
      <c r="G109" s="29"/>
    </row>
    <row r="110">
      <c r="G110" s="29"/>
    </row>
    <row r="111">
      <c r="G111" s="29"/>
    </row>
    <row r="112">
      <c r="G112" s="29"/>
    </row>
    <row r="113">
      <c r="G113" s="29"/>
    </row>
    <row r="114">
      <c r="G114" s="29"/>
    </row>
    <row r="115">
      <c r="G115" s="29"/>
    </row>
    <row r="116">
      <c r="G116" s="29"/>
    </row>
    <row r="117">
      <c r="G117" s="29"/>
    </row>
    <row r="118">
      <c r="G118" s="29"/>
    </row>
    <row r="119">
      <c r="G119" s="29"/>
    </row>
    <row r="120">
      <c r="G120" s="29"/>
    </row>
    <row r="121">
      <c r="G121" s="29"/>
    </row>
    <row r="122">
      <c r="G122" s="29"/>
    </row>
    <row r="123">
      <c r="G123" s="29"/>
    </row>
    <row r="124">
      <c r="G124" s="29"/>
    </row>
    <row r="125">
      <c r="G125" s="29"/>
    </row>
    <row r="126">
      <c r="G126" s="29"/>
    </row>
    <row r="127">
      <c r="G127" s="29"/>
    </row>
    <row r="128">
      <c r="G128" s="29"/>
    </row>
    <row r="129">
      <c r="G129" s="29"/>
    </row>
    <row r="130">
      <c r="G130" s="29"/>
    </row>
    <row r="131">
      <c r="G131" s="29"/>
    </row>
    <row r="132">
      <c r="G132" s="29"/>
    </row>
    <row r="133">
      <c r="G133" s="29"/>
    </row>
    <row r="134">
      <c r="G134" s="29"/>
    </row>
    <row r="135">
      <c r="G135" s="29"/>
    </row>
    <row r="136">
      <c r="G136" s="29"/>
    </row>
    <row r="137">
      <c r="G137" s="29"/>
    </row>
    <row r="138">
      <c r="G138" s="29"/>
    </row>
    <row r="139">
      <c r="G139" s="29"/>
    </row>
    <row r="140">
      <c r="G140" s="29"/>
    </row>
    <row r="141">
      <c r="G141" s="29"/>
    </row>
    <row r="142">
      <c r="G142" s="29"/>
    </row>
    <row r="143">
      <c r="G143" s="29"/>
    </row>
    <row r="144">
      <c r="G144" s="29"/>
    </row>
    <row r="145">
      <c r="G145" s="29"/>
    </row>
    <row r="146">
      <c r="G146" s="29"/>
    </row>
    <row r="147">
      <c r="G147" s="29"/>
    </row>
    <row r="148">
      <c r="G148" s="29"/>
    </row>
    <row r="149">
      <c r="G149" s="29"/>
    </row>
    <row r="150">
      <c r="G150" s="29"/>
    </row>
    <row r="151">
      <c r="G151" s="29"/>
    </row>
    <row r="152">
      <c r="G152" s="29"/>
    </row>
    <row r="153">
      <c r="G153" s="29"/>
    </row>
    <row r="154">
      <c r="G154" s="29"/>
    </row>
    <row r="155">
      <c r="G155" s="29"/>
    </row>
    <row r="156">
      <c r="G156" s="29"/>
    </row>
    <row r="157">
      <c r="G157" s="29"/>
    </row>
    <row r="158">
      <c r="G158" s="29"/>
    </row>
    <row r="159">
      <c r="G159" s="29"/>
    </row>
    <row r="160">
      <c r="G160" s="29"/>
    </row>
    <row r="161">
      <c r="G161" s="29"/>
    </row>
    <row r="162">
      <c r="G162" s="29"/>
    </row>
    <row r="163">
      <c r="G163" s="29"/>
    </row>
    <row r="164">
      <c r="G164" s="29"/>
    </row>
    <row r="165">
      <c r="G165" s="29"/>
    </row>
    <row r="166">
      <c r="G166" s="29"/>
    </row>
    <row r="167">
      <c r="G167" s="29"/>
    </row>
    <row r="168">
      <c r="G168" s="29"/>
    </row>
    <row r="169">
      <c r="G169" s="29"/>
    </row>
    <row r="170">
      <c r="G170" s="29"/>
    </row>
    <row r="171">
      <c r="G171" s="29"/>
    </row>
    <row r="172">
      <c r="G172" s="29"/>
    </row>
    <row r="173">
      <c r="G173" s="29"/>
    </row>
    <row r="174">
      <c r="G174" s="29"/>
    </row>
    <row r="175">
      <c r="G175" s="29"/>
    </row>
    <row r="176">
      <c r="G176" s="29"/>
    </row>
    <row r="177">
      <c r="G177" s="29"/>
    </row>
    <row r="178">
      <c r="G178" s="29"/>
    </row>
    <row r="179">
      <c r="G179" s="29"/>
    </row>
    <row r="180">
      <c r="G180" s="29"/>
    </row>
    <row r="181">
      <c r="G181" s="29"/>
    </row>
    <row r="182">
      <c r="G182" s="29"/>
    </row>
    <row r="183">
      <c r="G183" s="29"/>
    </row>
    <row r="184">
      <c r="G184" s="29"/>
    </row>
    <row r="185">
      <c r="G185" s="29"/>
    </row>
    <row r="186">
      <c r="G186" s="29"/>
    </row>
    <row r="187">
      <c r="G187" s="29"/>
    </row>
    <row r="188">
      <c r="G188" s="29"/>
    </row>
    <row r="189">
      <c r="G189" s="29"/>
    </row>
    <row r="190">
      <c r="G190" s="29"/>
    </row>
    <row r="191">
      <c r="G191" s="29"/>
    </row>
    <row r="192">
      <c r="G192" s="29"/>
    </row>
    <row r="193">
      <c r="G193" s="29"/>
    </row>
    <row r="194">
      <c r="G194" s="29"/>
    </row>
    <row r="195">
      <c r="G195" s="29"/>
    </row>
    <row r="196">
      <c r="G196" s="29"/>
    </row>
    <row r="197">
      <c r="G197" s="29"/>
    </row>
    <row r="198">
      <c r="G198" s="29"/>
    </row>
    <row r="199">
      <c r="G199" s="29"/>
    </row>
    <row r="200">
      <c r="G200" s="29"/>
    </row>
    <row r="201">
      <c r="G201" s="29"/>
    </row>
    <row r="202">
      <c r="G202" s="29"/>
    </row>
    <row r="203">
      <c r="G203" s="29"/>
    </row>
    <row r="204">
      <c r="G204" s="29"/>
    </row>
    <row r="205">
      <c r="G205" s="29"/>
    </row>
    <row r="206">
      <c r="G206" s="29"/>
    </row>
    <row r="207">
      <c r="G207" s="29"/>
    </row>
    <row r="208">
      <c r="G208" s="29"/>
    </row>
    <row r="209">
      <c r="G209" s="29"/>
    </row>
    <row r="210">
      <c r="G210" s="29"/>
    </row>
    <row r="211">
      <c r="G211" s="29"/>
    </row>
    <row r="212">
      <c r="G212" s="29"/>
    </row>
    <row r="213">
      <c r="G213" s="29"/>
    </row>
    <row r="214">
      <c r="G214" s="29"/>
    </row>
    <row r="215">
      <c r="G215" s="29"/>
    </row>
    <row r="216">
      <c r="G216" s="29"/>
    </row>
    <row r="217">
      <c r="G217" s="29"/>
    </row>
    <row r="218">
      <c r="G218" s="29"/>
    </row>
    <row r="219">
      <c r="G219" s="29"/>
    </row>
    <row r="220">
      <c r="G220" s="29"/>
    </row>
    <row r="221">
      <c r="G221" s="29"/>
    </row>
    <row r="222">
      <c r="G222" s="29"/>
    </row>
    <row r="223">
      <c r="G223" s="29"/>
    </row>
    <row r="224">
      <c r="G224" s="29"/>
    </row>
    <row r="225">
      <c r="G225" s="29"/>
    </row>
    <row r="226">
      <c r="G226" s="29"/>
    </row>
    <row r="227">
      <c r="G227" s="29"/>
    </row>
    <row r="228">
      <c r="G228" s="29"/>
    </row>
    <row r="229">
      <c r="G229" s="29"/>
    </row>
    <row r="230">
      <c r="G230" s="29"/>
    </row>
    <row r="231">
      <c r="G231" s="29"/>
    </row>
    <row r="232">
      <c r="G232" s="29"/>
    </row>
    <row r="233">
      <c r="G233" s="29"/>
    </row>
    <row r="234">
      <c r="G234" s="29"/>
    </row>
    <row r="235">
      <c r="G235" s="29"/>
    </row>
    <row r="236">
      <c r="G236" s="29"/>
    </row>
    <row r="237">
      <c r="G237" s="29"/>
    </row>
    <row r="238">
      <c r="G238" s="29"/>
    </row>
    <row r="239">
      <c r="G239" s="29"/>
    </row>
    <row r="240">
      <c r="G240" s="29"/>
    </row>
    <row r="241">
      <c r="G241" s="29"/>
    </row>
    <row r="242">
      <c r="G242" s="29"/>
    </row>
    <row r="243">
      <c r="G243" s="29"/>
    </row>
    <row r="244">
      <c r="G244" s="29"/>
    </row>
    <row r="245">
      <c r="G245" s="29"/>
    </row>
    <row r="246">
      <c r="G246" s="29"/>
    </row>
    <row r="247">
      <c r="G247" s="29"/>
    </row>
    <row r="248">
      <c r="G248" s="29"/>
    </row>
    <row r="249">
      <c r="G249" s="29"/>
    </row>
    <row r="250">
      <c r="G250" s="29"/>
    </row>
    <row r="251">
      <c r="G251" s="29"/>
    </row>
    <row r="252">
      <c r="G252" s="29"/>
    </row>
    <row r="253">
      <c r="G253" s="29"/>
    </row>
    <row r="254">
      <c r="G254" s="29"/>
    </row>
    <row r="255">
      <c r="G255" s="29"/>
    </row>
    <row r="256">
      <c r="G256" s="29"/>
    </row>
    <row r="257">
      <c r="G257" s="29"/>
    </row>
    <row r="258">
      <c r="G258" s="29"/>
    </row>
    <row r="259">
      <c r="G259" s="29"/>
    </row>
    <row r="260">
      <c r="G260" s="29"/>
    </row>
    <row r="261">
      <c r="G261" s="29"/>
    </row>
    <row r="262">
      <c r="G262" s="29"/>
    </row>
    <row r="263">
      <c r="G263" s="29"/>
    </row>
    <row r="264">
      <c r="G264" s="29"/>
    </row>
    <row r="265">
      <c r="G265" s="29"/>
    </row>
    <row r="266">
      <c r="G266" s="29"/>
    </row>
    <row r="267">
      <c r="G267" s="29"/>
    </row>
    <row r="268">
      <c r="G268" s="29"/>
    </row>
    <row r="269">
      <c r="G269" s="29"/>
    </row>
    <row r="270">
      <c r="G270" s="29"/>
    </row>
    <row r="271">
      <c r="G271" s="29"/>
    </row>
    <row r="272">
      <c r="G272" s="29"/>
    </row>
    <row r="273">
      <c r="G273" s="29"/>
    </row>
    <row r="274">
      <c r="G274" s="29"/>
    </row>
    <row r="275">
      <c r="G275" s="29"/>
    </row>
    <row r="276">
      <c r="G276" s="29"/>
    </row>
    <row r="277">
      <c r="G277" s="29"/>
    </row>
    <row r="278">
      <c r="G278" s="29"/>
    </row>
    <row r="279">
      <c r="G279" s="29"/>
    </row>
    <row r="280">
      <c r="G280" s="29"/>
    </row>
    <row r="281">
      <c r="G281" s="29"/>
    </row>
    <row r="282">
      <c r="G282" s="29"/>
    </row>
    <row r="283">
      <c r="G283" s="29"/>
    </row>
    <row r="284">
      <c r="G284" s="29"/>
    </row>
    <row r="285">
      <c r="G285" s="29"/>
    </row>
    <row r="286">
      <c r="G286" s="29"/>
    </row>
    <row r="287">
      <c r="G287" s="29"/>
    </row>
    <row r="288">
      <c r="G288" s="29"/>
    </row>
    <row r="289">
      <c r="G289" s="29"/>
    </row>
    <row r="290">
      <c r="G290" s="29"/>
    </row>
    <row r="291">
      <c r="G291" s="29"/>
    </row>
    <row r="292">
      <c r="G292" s="29"/>
    </row>
    <row r="293">
      <c r="G293" s="29"/>
    </row>
    <row r="294">
      <c r="G294" s="29"/>
    </row>
    <row r="295">
      <c r="G295" s="29"/>
    </row>
    <row r="296">
      <c r="G296" s="29"/>
    </row>
    <row r="297">
      <c r="G297" s="29"/>
    </row>
    <row r="298">
      <c r="G298" s="29"/>
    </row>
    <row r="299">
      <c r="G299" s="29"/>
    </row>
    <row r="300">
      <c r="G300" s="29"/>
    </row>
    <row r="301">
      <c r="G301" s="29"/>
    </row>
    <row r="302">
      <c r="G302" s="29"/>
    </row>
    <row r="303">
      <c r="G303" s="29"/>
    </row>
    <row r="304">
      <c r="G304" s="29"/>
    </row>
    <row r="305">
      <c r="G305" s="29"/>
    </row>
    <row r="306">
      <c r="G306" s="29"/>
    </row>
    <row r="307">
      <c r="G307" s="29"/>
    </row>
    <row r="308">
      <c r="G308" s="29"/>
    </row>
    <row r="309">
      <c r="G309" s="29"/>
    </row>
    <row r="310">
      <c r="G310" s="29"/>
    </row>
    <row r="311">
      <c r="G311" s="29"/>
    </row>
    <row r="312">
      <c r="G312" s="29"/>
    </row>
    <row r="313">
      <c r="G313" s="29"/>
    </row>
    <row r="314">
      <c r="G314" s="29"/>
    </row>
    <row r="315">
      <c r="G315" s="29"/>
    </row>
    <row r="316">
      <c r="G316" s="29"/>
    </row>
    <row r="317">
      <c r="G317" s="29"/>
    </row>
    <row r="318">
      <c r="G318" s="29"/>
    </row>
    <row r="319">
      <c r="G319" s="29"/>
    </row>
    <row r="320">
      <c r="G320" s="29"/>
    </row>
    <row r="321">
      <c r="G321" s="29"/>
    </row>
    <row r="322">
      <c r="G322" s="29"/>
    </row>
    <row r="323">
      <c r="G323" s="29"/>
    </row>
    <row r="324">
      <c r="G324" s="29"/>
    </row>
    <row r="325">
      <c r="G325" s="29"/>
    </row>
    <row r="326">
      <c r="G326" s="29"/>
    </row>
    <row r="327">
      <c r="G327" s="29"/>
    </row>
    <row r="328">
      <c r="G328" s="29"/>
    </row>
    <row r="329">
      <c r="G329" s="29"/>
    </row>
    <row r="330">
      <c r="G330" s="29"/>
    </row>
    <row r="331">
      <c r="G331" s="29"/>
    </row>
    <row r="332">
      <c r="G332" s="29"/>
    </row>
    <row r="333">
      <c r="G333" s="29"/>
    </row>
    <row r="334">
      <c r="G334" s="29"/>
    </row>
    <row r="335">
      <c r="G335" s="29"/>
    </row>
    <row r="336">
      <c r="G336" s="29"/>
    </row>
    <row r="337">
      <c r="G337" s="29"/>
    </row>
    <row r="338">
      <c r="G338" s="29"/>
    </row>
    <row r="339">
      <c r="G339" s="29"/>
    </row>
    <row r="340">
      <c r="G340" s="29"/>
    </row>
    <row r="341">
      <c r="G341" s="29"/>
    </row>
    <row r="342">
      <c r="G342" s="29"/>
    </row>
    <row r="343">
      <c r="G343" s="29"/>
    </row>
    <row r="344">
      <c r="G344" s="29"/>
    </row>
    <row r="345">
      <c r="G345" s="29"/>
    </row>
    <row r="346">
      <c r="G346" s="29"/>
    </row>
    <row r="347">
      <c r="G347" s="29"/>
    </row>
    <row r="348">
      <c r="G348" s="29"/>
    </row>
    <row r="349">
      <c r="G349" s="29"/>
    </row>
    <row r="350">
      <c r="G350" s="29"/>
    </row>
    <row r="351">
      <c r="G351" s="29"/>
    </row>
    <row r="352">
      <c r="G352" s="29"/>
    </row>
    <row r="353">
      <c r="G353" s="29"/>
    </row>
    <row r="354">
      <c r="G354" s="29"/>
    </row>
    <row r="355">
      <c r="G355" s="29"/>
    </row>
    <row r="356">
      <c r="G356" s="29"/>
    </row>
    <row r="357">
      <c r="G357" s="29"/>
    </row>
    <row r="358">
      <c r="G358" s="29"/>
    </row>
    <row r="359">
      <c r="G359" s="29"/>
    </row>
    <row r="360">
      <c r="G360" s="29"/>
    </row>
    <row r="361">
      <c r="G361" s="29"/>
    </row>
    <row r="362">
      <c r="G362" s="29"/>
    </row>
    <row r="363">
      <c r="G363" s="29"/>
    </row>
    <row r="364">
      <c r="G364" s="29"/>
    </row>
    <row r="365">
      <c r="G365" s="29"/>
    </row>
    <row r="366">
      <c r="G366" s="29"/>
    </row>
    <row r="367">
      <c r="G367" s="29"/>
    </row>
    <row r="368">
      <c r="G368" s="29"/>
    </row>
    <row r="369">
      <c r="G369" s="29"/>
    </row>
    <row r="370">
      <c r="G370" s="29"/>
    </row>
    <row r="371">
      <c r="G371" s="29"/>
    </row>
    <row r="372">
      <c r="G372" s="29"/>
    </row>
    <row r="373">
      <c r="G373" s="29"/>
    </row>
    <row r="374">
      <c r="G374" s="29"/>
    </row>
    <row r="375">
      <c r="G375" s="29"/>
    </row>
    <row r="376">
      <c r="G376" s="29"/>
    </row>
    <row r="377">
      <c r="G377" s="29"/>
    </row>
    <row r="378">
      <c r="G378" s="29"/>
    </row>
    <row r="379">
      <c r="G379" s="29"/>
    </row>
    <row r="380">
      <c r="G380" s="29"/>
    </row>
    <row r="381">
      <c r="G381" s="29"/>
    </row>
    <row r="382">
      <c r="G382" s="29"/>
    </row>
    <row r="383">
      <c r="G383" s="29"/>
    </row>
    <row r="384">
      <c r="G384" s="29"/>
    </row>
    <row r="385">
      <c r="G385" s="29"/>
    </row>
    <row r="386">
      <c r="G386" s="29"/>
    </row>
    <row r="387">
      <c r="G387" s="29"/>
    </row>
    <row r="388">
      <c r="G388" s="29"/>
    </row>
    <row r="389">
      <c r="G389" s="29"/>
    </row>
    <row r="390">
      <c r="G390" s="29"/>
    </row>
    <row r="391">
      <c r="G391" s="29"/>
    </row>
    <row r="392">
      <c r="G392" s="29"/>
    </row>
    <row r="393">
      <c r="G393" s="29"/>
    </row>
    <row r="394">
      <c r="G394" s="29"/>
    </row>
    <row r="395">
      <c r="G395" s="29"/>
    </row>
    <row r="396">
      <c r="G396" s="29"/>
    </row>
    <row r="397">
      <c r="G397" s="29"/>
    </row>
    <row r="398">
      <c r="G398" s="29"/>
    </row>
    <row r="399">
      <c r="G399" s="29"/>
    </row>
    <row r="400">
      <c r="G400" s="29"/>
    </row>
    <row r="401">
      <c r="G401" s="29"/>
    </row>
    <row r="402">
      <c r="G402" s="29"/>
    </row>
    <row r="403">
      <c r="G403" s="29"/>
    </row>
    <row r="404">
      <c r="G404" s="29"/>
    </row>
    <row r="405">
      <c r="G405" s="29"/>
    </row>
    <row r="406">
      <c r="G406" s="29"/>
    </row>
    <row r="407">
      <c r="G407" s="29"/>
    </row>
    <row r="408">
      <c r="G408" s="29"/>
    </row>
    <row r="409">
      <c r="G409" s="29"/>
    </row>
    <row r="410">
      <c r="G410" s="29"/>
    </row>
    <row r="411">
      <c r="G411" s="29"/>
    </row>
    <row r="412">
      <c r="G412" s="29"/>
    </row>
    <row r="413">
      <c r="G413" s="29"/>
    </row>
    <row r="414">
      <c r="G414" s="29"/>
    </row>
    <row r="415">
      <c r="G415" s="29"/>
    </row>
    <row r="416">
      <c r="G416" s="29"/>
    </row>
    <row r="417">
      <c r="G417" s="29"/>
    </row>
    <row r="418">
      <c r="G418" s="29"/>
    </row>
    <row r="419">
      <c r="G419" s="29"/>
    </row>
    <row r="420">
      <c r="G420" s="29"/>
    </row>
    <row r="421">
      <c r="G421" s="29"/>
    </row>
    <row r="422">
      <c r="G422" s="29"/>
    </row>
    <row r="423">
      <c r="G423" s="29"/>
    </row>
    <row r="424">
      <c r="G424" s="29"/>
    </row>
    <row r="425">
      <c r="G425" s="29"/>
    </row>
    <row r="426">
      <c r="G426" s="29"/>
    </row>
    <row r="427">
      <c r="G427" s="29"/>
    </row>
    <row r="428">
      <c r="G428" s="29"/>
    </row>
    <row r="429">
      <c r="G429" s="29"/>
    </row>
    <row r="430">
      <c r="G430" s="29"/>
    </row>
    <row r="431">
      <c r="G431" s="29"/>
    </row>
    <row r="432">
      <c r="G432" s="29"/>
    </row>
    <row r="433">
      <c r="G433" s="29"/>
    </row>
    <row r="434">
      <c r="G434" s="29"/>
    </row>
    <row r="435">
      <c r="G435" s="29"/>
    </row>
    <row r="436">
      <c r="G436" s="29"/>
    </row>
    <row r="437">
      <c r="G437" s="29"/>
    </row>
    <row r="438">
      <c r="G438" s="29"/>
    </row>
    <row r="439">
      <c r="G439" s="29"/>
    </row>
    <row r="440">
      <c r="G440" s="29"/>
    </row>
    <row r="441">
      <c r="G441" s="29"/>
    </row>
    <row r="442">
      <c r="G442" s="29"/>
    </row>
    <row r="443">
      <c r="G443" s="29"/>
    </row>
    <row r="444">
      <c r="G444" s="29"/>
    </row>
    <row r="445">
      <c r="G445" s="29"/>
    </row>
    <row r="446">
      <c r="G446" s="29"/>
    </row>
    <row r="447">
      <c r="G447" s="29"/>
    </row>
    <row r="448">
      <c r="G448" s="29"/>
    </row>
    <row r="449">
      <c r="G449" s="29"/>
    </row>
    <row r="450">
      <c r="G450" s="29"/>
    </row>
    <row r="451">
      <c r="G451" s="29"/>
    </row>
    <row r="452">
      <c r="G452" s="29"/>
    </row>
    <row r="453">
      <c r="G453" s="29"/>
    </row>
    <row r="454">
      <c r="G454" s="29"/>
    </row>
    <row r="455">
      <c r="G455" s="29"/>
    </row>
    <row r="456">
      <c r="G456" s="29"/>
    </row>
    <row r="457">
      <c r="G457" s="29"/>
    </row>
    <row r="458">
      <c r="G458" s="29"/>
    </row>
    <row r="459">
      <c r="G459" s="29"/>
    </row>
    <row r="460">
      <c r="G460" s="29"/>
    </row>
    <row r="461">
      <c r="G461" s="29"/>
    </row>
    <row r="462">
      <c r="G462" s="29"/>
    </row>
    <row r="463">
      <c r="G463" s="29"/>
    </row>
    <row r="464">
      <c r="G464" s="29"/>
    </row>
    <row r="465">
      <c r="G465" s="29"/>
    </row>
    <row r="466">
      <c r="G466" s="29"/>
    </row>
    <row r="467">
      <c r="G467" s="29"/>
    </row>
    <row r="468">
      <c r="G468" s="29"/>
    </row>
    <row r="469">
      <c r="G469" s="29"/>
    </row>
    <row r="470">
      <c r="G470" s="29"/>
    </row>
    <row r="471">
      <c r="G471" s="29"/>
    </row>
    <row r="472">
      <c r="G472" s="29"/>
    </row>
    <row r="473">
      <c r="G473" s="29"/>
    </row>
    <row r="474">
      <c r="G474" s="29"/>
    </row>
    <row r="475">
      <c r="G475" s="29"/>
    </row>
    <row r="476">
      <c r="G476" s="29"/>
    </row>
    <row r="477">
      <c r="G477" s="29"/>
    </row>
    <row r="478">
      <c r="G478" s="29"/>
    </row>
    <row r="479">
      <c r="G479" s="29"/>
    </row>
    <row r="480">
      <c r="G480" s="29"/>
    </row>
    <row r="481">
      <c r="G481" s="29"/>
    </row>
    <row r="482">
      <c r="G482" s="29"/>
    </row>
    <row r="483">
      <c r="G483" s="29"/>
    </row>
    <row r="484">
      <c r="G484" s="29"/>
    </row>
    <row r="485">
      <c r="G485" s="29"/>
    </row>
    <row r="486">
      <c r="G486" s="29"/>
    </row>
    <row r="487">
      <c r="G487" s="29"/>
    </row>
    <row r="488">
      <c r="G488" s="29"/>
    </row>
    <row r="489">
      <c r="G489" s="29"/>
    </row>
    <row r="490">
      <c r="G490" s="29"/>
    </row>
    <row r="491">
      <c r="G491" s="29"/>
    </row>
    <row r="492">
      <c r="G492" s="29"/>
    </row>
    <row r="493">
      <c r="G493" s="29"/>
    </row>
    <row r="494">
      <c r="G494" s="29"/>
    </row>
    <row r="495">
      <c r="G495" s="29"/>
    </row>
    <row r="496">
      <c r="G496" s="29"/>
    </row>
    <row r="497">
      <c r="G497" s="29"/>
    </row>
    <row r="498">
      <c r="G498" s="29"/>
    </row>
    <row r="499">
      <c r="G499" s="29"/>
    </row>
    <row r="500">
      <c r="G500" s="29"/>
    </row>
    <row r="501">
      <c r="G501" s="29"/>
    </row>
    <row r="502">
      <c r="G502" s="29"/>
    </row>
    <row r="503">
      <c r="G503" s="29"/>
    </row>
    <row r="504">
      <c r="G504" s="29"/>
    </row>
    <row r="505">
      <c r="G505" s="29"/>
    </row>
    <row r="506">
      <c r="G506" s="29"/>
    </row>
    <row r="507">
      <c r="G507" s="29"/>
    </row>
    <row r="508">
      <c r="G508" s="29"/>
    </row>
    <row r="509">
      <c r="G509" s="29"/>
    </row>
    <row r="510">
      <c r="G510" s="29"/>
    </row>
    <row r="511">
      <c r="G511" s="29"/>
    </row>
    <row r="512">
      <c r="G512" s="29"/>
    </row>
    <row r="513">
      <c r="G513" s="29"/>
    </row>
    <row r="514">
      <c r="G514" s="29"/>
    </row>
    <row r="515">
      <c r="G515" s="29"/>
    </row>
    <row r="516">
      <c r="G516" s="29"/>
    </row>
    <row r="517">
      <c r="G517" s="29"/>
    </row>
    <row r="518">
      <c r="G518" s="29"/>
    </row>
    <row r="519">
      <c r="G519" s="29"/>
    </row>
    <row r="520">
      <c r="G520" s="29"/>
    </row>
    <row r="521">
      <c r="G521" s="29"/>
    </row>
    <row r="522">
      <c r="G522" s="29"/>
    </row>
    <row r="523">
      <c r="G523" s="29"/>
    </row>
    <row r="524">
      <c r="G524" s="29"/>
    </row>
    <row r="525">
      <c r="G525" s="29"/>
    </row>
    <row r="526">
      <c r="G526" s="29"/>
    </row>
    <row r="527">
      <c r="G527" s="29"/>
    </row>
    <row r="528">
      <c r="G528" s="29"/>
    </row>
    <row r="529">
      <c r="G529" s="29"/>
    </row>
    <row r="530">
      <c r="G530" s="29"/>
    </row>
    <row r="531">
      <c r="G531" s="29"/>
    </row>
    <row r="532">
      <c r="G532" s="29"/>
    </row>
    <row r="533">
      <c r="G533" s="29"/>
    </row>
    <row r="534">
      <c r="G534" s="29"/>
    </row>
    <row r="535">
      <c r="G535" s="29"/>
    </row>
    <row r="536">
      <c r="G536" s="29"/>
    </row>
    <row r="537">
      <c r="G537" s="29"/>
    </row>
    <row r="538">
      <c r="G538" s="29"/>
    </row>
    <row r="539">
      <c r="G539" s="29"/>
    </row>
    <row r="540">
      <c r="G540" s="29"/>
    </row>
    <row r="541">
      <c r="G541" s="29"/>
    </row>
    <row r="542">
      <c r="G542" s="29"/>
    </row>
    <row r="543">
      <c r="G543" s="29"/>
    </row>
    <row r="544">
      <c r="G544" s="29"/>
    </row>
    <row r="545">
      <c r="G545" s="29"/>
    </row>
    <row r="546">
      <c r="G546" s="29"/>
    </row>
    <row r="547">
      <c r="G547" s="29"/>
    </row>
    <row r="548">
      <c r="G548" s="29"/>
    </row>
    <row r="549">
      <c r="G549" s="29"/>
    </row>
    <row r="550">
      <c r="G550" s="29"/>
    </row>
    <row r="551">
      <c r="G551" s="29"/>
    </row>
    <row r="552">
      <c r="G552" s="29"/>
    </row>
    <row r="553">
      <c r="G553" s="29"/>
    </row>
    <row r="554">
      <c r="G554" s="29"/>
    </row>
    <row r="555">
      <c r="G555" s="29"/>
    </row>
    <row r="556">
      <c r="G556" s="29"/>
    </row>
    <row r="557">
      <c r="G557" s="29"/>
    </row>
    <row r="558">
      <c r="G558" s="29"/>
    </row>
    <row r="559">
      <c r="G559" s="29"/>
    </row>
    <row r="560">
      <c r="G560" s="29"/>
    </row>
    <row r="561">
      <c r="G561" s="29"/>
    </row>
    <row r="562">
      <c r="G562" s="29"/>
    </row>
    <row r="563">
      <c r="G563" s="29"/>
    </row>
    <row r="564">
      <c r="G564" s="29"/>
    </row>
    <row r="565">
      <c r="G565" s="29"/>
    </row>
    <row r="566">
      <c r="G566" s="29"/>
    </row>
    <row r="567">
      <c r="G567" s="29"/>
    </row>
    <row r="568">
      <c r="G568" s="29"/>
    </row>
    <row r="569">
      <c r="G569" s="29"/>
    </row>
    <row r="570">
      <c r="G570" s="29"/>
    </row>
    <row r="571">
      <c r="G571" s="29"/>
    </row>
    <row r="572">
      <c r="G572" s="29"/>
    </row>
    <row r="573">
      <c r="G573" s="29"/>
    </row>
    <row r="574">
      <c r="G574" s="29"/>
    </row>
    <row r="575">
      <c r="G575" s="29"/>
    </row>
    <row r="576">
      <c r="G576" s="29"/>
    </row>
    <row r="577">
      <c r="G577" s="29"/>
    </row>
    <row r="578">
      <c r="G578" s="29"/>
    </row>
    <row r="579">
      <c r="G579" s="29"/>
    </row>
    <row r="580">
      <c r="G580" s="29"/>
    </row>
    <row r="581">
      <c r="G581" s="29"/>
    </row>
    <row r="582">
      <c r="G582" s="29"/>
    </row>
    <row r="583">
      <c r="G583" s="29"/>
    </row>
    <row r="584">
      <c r="G584" s="29"/>
    </row>
    <row r="585">
      <c r="G585" s="29"/>
    </row>
    <row r="586">
      <c r="G586" s="29"/>
    </row>
    <row r="587">
      <c r="G587" s="29"/>
    </row>
    <row r="588">
      <c r="G588" s="29"/>
    </row>
    <row r="589">
      <c r="G589" s="29"/>
    </row>
    <row r="590">
      <c r="G590" s="29"/>
    </row>
    <row r="591">
      <c r="G591" s="29"/>
    </row>
    <row r="592">
      <c r="G592" s="29"/>
    </row>
    <row r="593">
      <c r="G593" s="29"/>
    </row>
    <row r="594">
      <c r="G594" s="29"/>
    </row>
    <row r="595">
      <c r="G595" s="29"/>
    </row>
    <row r="596">
      <c r="G596" s="29"/>
    </row>
    <row r="597">
      <c r="G597" s="29"/>
    </row>
    <row r="598">
      <c r="G598" s="29"/>
    </row>
    <row r="599">
      <c r="G599" s="29"/>
    </row>
    <row r="600">
      <c r="G600" s="29"/>
    </row>
    <row r="601">
      <c r="G601" s="29"/>
    </row>
    <row r="602">
      <c r="G602" s="29"/>
    </row>
    <row r="603">
      <c r="G603" s="29"/>
    </row>
    <row r="604">
      <c r="G604" s="29"/>
    </row>
    <row r="605">
      <c r="G605" s="29"/>
    </row>
    <row r="606">
      <c r="G606" s="29"/>
    </row>
    <row r="607">
      <c r="G607" s="29"/>
    </row>
    <row r="608">
      <c r="G608" s="29"/>
    </row>
    <row r="609">
      <c r="G609" s="29"/>
    </row>
    <row r="610">
      <c r="G610" s="29"/>
    </row>
    <row r="611">
      <c r="G611" s="29"/>
    </row>
    <row r="612">
      <c r="G612" s="29"/>
    </row>
    <row r="613">
      <c r="G613" s="29"/>
    </row>
    <row r="614">
      <c r="G614" s="29"/>
    </row>
    <row r="615">
      <c r="G615" s="29"/>
    </row>
    <row r="616">
      <c r="G616" s="29"/>
    </row>
    <row r="617">
      <c r="G617" s="29"/>
    </row>
    <row r="618">
      <c r="G618" s="29"/>
    </row>
    <row r="619">
      <c r="G619" s="29"/>
    </row>
    <row r="620">
      <c r="G620" s="29"/>
    </row>
    <row r="621">
      <c r="G621" s="29"/>
    </row>
    <row r="622">
      <c r="G622" s="29"/>
    </row>
    <row r="623">
      <c r="G623" s="29"/>
    </row>
    <row r="624">
      <c r="G624" s="29"/>
    </row>
    <row r="625">
      <c r="G625" s="29"/>
    </row>
    <row r="626">
      <c r="G626" s="29"/>
    </row>
    <row r="627">
      <c r="G627" s="29"/>
    </row>
    <row r="628">
      <c r="G628" s="29"/>
    </row>
    <row r="629">
      <c r="G629" s="29"/>
    </row>
    <row r="630">
      <c r="G630" s="29"/>
    </row>
    <row r="631">
      <c r="G631" s="29"/>
    </row>
    <row r="632">
      <c r="G632" s="29"/>
    </row>
    <row r="633">
      <c r="G633" s="29"/>
    </row>
    <row r="634">
      <c r="G634" s="29"/>
    </row>
    <row r="635">
      <c r="G635" s="29"/>
    </row>
    <row r="636">
      <c r="G636" s="29"/>
    </row>
    <row r="637">
      <c r="G637" s="29"/>
    </row>
    <row r="638">
      <c r="G638" s="29"/>
    </row>
    <row r="639">
      <c r="G639" s="29"/>
    </row>
    <row r="640">
      <c r="G640" s="29"/>
    </row>
    <row r="641">
      <c r="G641" s="29"/>
    </row>
    <row r="642">
      <c r="G642" s="29"/>
    </row>
    <row r="643">
      <c r="G643" s="29"/>
    </row>
    <row r="644">
      <c r="G644" s="29"/>
    </row>
    <row r="645">
      <c r="G645" s="29"/>
    </row>
    <row r="646">
      <c r="G646" s="29"/>
    </row>
    <row r="647">
      <c r="G647" s="29"/>
    </row>
    <row r="648">
      <c r="G648" s="29"/>
    </row>
    <row r="649">
      <c r="G649" s="29"/>
    </row>
    <row r="650">
      <c r="G650" s="29"/>
    </row>
    <row r="651">
      <c r="G651" s="29"/>
    </row>
    <row r="652">
      <c r="G652" s="29"/>
    </row>
    <row r="653">
      <c r="G653" s="29"/>
    </row>
    <row r="654">
      <c r="G654" s="29"/>
    </row>
    <row r="655">
      <c r="G655" s="29"/>
    </row>
    <row r="656">
      <c r="G656" s="29"/>
    </row>
    <row r="657">
      <c r="G657" s="29"/>
    </row>
    <row r="658">
      <c r="G658" s="29"/>
    </row>
    <row r="659">
      <c r="G659" s="29"/>
    </row>
    <row r="660">
      <c r="G660" s="29"/>
    </row>
    <row r="661">
      <c r="G661" s="29"/>
    </row>
    <row r="662">
      <c r="G662" s="29"/>
    </row>
    <row r="663">
      <c r="G663" s="29"/>
    </row>
    <row r="664">
      <c r="G664" s="29"/>
    </row>
    <row r="665">
      <c r="G665" s="29"/>
    </row>
    <row r="666">
      <c r="G666" s="29"/>
    </row>
    <row r="667">
      <c r="G667" s="29"/>
    </row>
    <row r="668">
      <c r="G668" s="29"/>
    </row>
    <row r="669">
      <c r="G669" s="29"/>
    </row>
    <row r="670">
      <c r="G670" s="29"/>
    </row>
    <row r="671">
      <c r="G671" s="29"/>
    </row>
    <row r="672">
      <c r="G672" s="29"/>
    </row>
    <row r="673">
      <c r="G673" s="29"/>
    </row>
    <row r="674">
      <c r="G674" s="29"/>
    </row>
    <row r="675">
      <c r="G675" s="29"/>
    </row>
    <row r="676">
      <c r="G676" s="29"/>
    </row>
    <row r="677">
      <c r="G677" s="29"/>
    </row>
    <row r="678">
      <c r="G678" s="29"/>
    </row>
    <row r="679">
      <c r="G679" s="29"/>
    </row>
    <row r="680">
      <c r="G680" s="29"/>
    </row>
    <row r="681">
      <c r="G681" s="29"/>
    </row>
    <row r="682">
      <c r="G682" s="29"/>
    </row>
    <row r="683">
      <c r="G683" s="29"/>
    </row>
    <row r="684">
      <c r="G684" s="29"/>
    </row>
    <row r="685">
      <c r="G685" s="29"/>
    </row>
    <row r="686">
      <c r="G686" s="29"/>
    </row>
    <row r="687">
      <c r="G687" s="29"/>
    </row>
    <row r="688">
      <c r="G688" s="29"/>
    </row>
    <row r="689">
      <c r="G689" s="29"/>
    </row>
    <row r="690">
      <c r="G690" s="29"/>
    </row>
    <row r="691">
      <c r="G691" s="29"/>
    </row>
    <row r="692">
      <c r="G692" s="29"/>
    </row>
    <row r="693">
      <c r="G693" s="29"/>
    </row>
    <row r="694">
      <c r="G694" s="29"/>
    </row>
    <row r="695">
      <c r="G695" s="29"/>
    </row>
    <row r="696">
      <c r="G696" s="29"/>
    </row>
    <row r="697">
      <c r="G697" s="29"/>
    </row>
    <row r="698">
      <c r="G698" s="29"/>
    </row>
    <row r="699">
      <c r="G699" s="29"/>
    </row>
    <row r="700">
      <c r="G700" s="29"/>
    </row>
    <row r="701">
      <c r="G701" s="29"/>
    </row>
    <row r="702">
      <c r="G702" s="29"/>
    </row>
    <row r="703">
      <c r="G703" s="29"/>
    </row>
    <row r="704">
      <c r="G704" s="29"/>
    </row>
    <row r="705">
      <c r="G705" s="29"/>
    </row>
    <row r="706">
      <c r="G706" s="29"/>
    </row>
    <row r="707">
      <c r="G707" s="29"/>
    </row>
    <row r="708">
      <c r="G708" s="29"/>
    </row>
    <row r="709">
      <c r="G709" s="29"/>
    </row>
    <row r="710">
      <c r="G710" s="29"/>
    </row>
    <row r="711">
      <c r="G711" s="29"/>
    </row>
    <row r="712">
      <c r="G712" s="29"/>
    </row>
    <row r="713">
      <c r="G713" s="29"/>
    </row>
    <row r="714">
      <c r="G714" s="29"/>
    </row>
    <row r="715">
      <c r="G715" s="29"/>
    </row>
    <row r="716">
      <c r="G716" s="29"/>
    </row>
    <row r="717">
      <c r="G717" s="29"/>
    </row>
    <row r="718">
      <c r="G718" s="29"/>
    </row>
    <row r="719">
      <c r="G719" s="29"/>
    </row>
    <row r="720">
      <c r="G720" s="29"/>
    </row>
    <row r="721">
      <c r="G721" s="29"/>
    </row>
    <row r="722">
      <c r="G722" s="29"/>
    </row>
    <row r="723">
      <c r="G723" s="29"/>
    </row>
    <row r="724">
      <c r="G724" s="29"/>
    </row>
    <row r="725">
      <c r="G725" s="29"/>
    </row>
    <row r="726">
      <c r="G726" s="29"/>
    </row>
    <row r="727">
      <c r="G727" s="29"/>
    </row>
    <row r="728">
      <c r="G728" s="29"/>
    </row>
    <row r="729">
      <c r="G729" s="29"/>
    </row>
    <row r="730">
      <c r="G730" s="29"/>
    </row>
    <row r="731">
      <c r="G731" s="29"/>
    </row>
    <row r="732">
      <c r="G732" s="29"/>
    </row>
    <row r="733">
      <c r="G733" s="29"/>
    </row>
    <row r="734">
      <c r="G734" s="29"/>
    </row>
    <row r="735">
      <c r="G735" s="29"/>
    </row>
    <row r="736">
      <c r="G736" s="29"/>
    </row>
    <row r="737">
      <c r="G737" s="29"/>
    </row>
    <row r="738">
      <c r="G738" s="29"/>
    </row>
    <row r="739">
      <c r="G739" s="29"/>
    </row>
    <row r="740">
      <c r="G740" s="29"/>
    </row>
    <row r="741">
      <c r="G741" s="29"/>
    </row>
    <row r="742">
      <c r="G742" s="29"/>
    </row>
    <row r="743">
      <c r="G743" s="29"/>
    </row>
    <row r="744">
      <c r="G744" s="29"/>
    </row>
    <row r="745">
      <c r="G745" s="29"/>
    </row>
    <row r="746">
      <c r="G746" s="29"/>
    </row>
    <row r="747">
      <c r="G747" s="29"/>
    </row>
    <row r="748">
      <c r="G748" s="29"/>
    </row>
    <row r="749">
      <c r="G749" s="29"/>
    </row>
    <row r="750">
      <c r="G750" s="29"/>
    </row>
    <row r="751">
      <c r="G751" s="29"/>
    </row>
    <row r="752">
      <c r="G752" s="29"/>
    </row>
    <row r="753">
      <c r="G753" s="29"/>
    </row>
    <row r="754">
      <c r="G754" s="29"/>
    </row>
    <row r="755">
      <c r="G755" s="29"/>
    </row>
    <row r="756">
      <c r="G756" s="29"/>
    </row>
    <row r="757">
      <c r="G757" s="29"/>
    </row>
    <row r="758">
      <c r="G758" s="29"/>
    </row>
    <row r="759">
      <c r="G759" s="29"/>
    </row>
    <row r="760">
      <c r="G760" s="29"/>
    </row>
    <row r="761">
      <c r="G761" s="29"/>
    </row>
    <row r="762">
      <c r="G762" s="29"/>
    </row>
    <row r="763">
      <c r="G763" s="29"/>
    </row>
    <row r="764">
      <c r="G764" s="29"/>
    </row>
    <row r="765">
      <c r="G765" s="29"/>
    </row>
    <row r="766">
      <c r="G766" s="29"/>
    </row>
    <row r="767">
      <c r="G767" s="29"/>
    </row>
    <row r="768">
      <c r="G768" s="29"/>
    </row>
    <row r="769">
      <c r="G769" s="29"/>
    </row>
    <row r="770">
      <c r="G770" s="29"/>
    </row>
    <row r="771">
      <c r="G771" s="29"/>
    </row>
    <row r="772">
      <c r="G772" s="29"/>
    </row>
    <row r="773">
      <c r="G773" s="29"/>
    </row>
    <row r="774">
      <c r="G774" s="29"/>
    </row>
    <row r="775">
      <c r="G775" s="29"/>
    </row>
    <row r="776">
      <c r="G776" s="29"/>
    </row>
    <row r="777">
      <c r="G777" s="29"/>
    </row>
    <row r="778">
      <c r="G778" s="29"/>
    </row>
    <row r="779">
      <c r="G779" s="29"/>
    </row>
    <row r="780">
      <c r="G780" s="29"/>
    </row>
    <row r="781">
      <c r="G781" s="29"/>
    </row>
    <row r="782">
      <c r="G782" s="29"/>
    </row>
    <row r="783">
      <c r="G783" s="29"/>
    </row>
    <row r="784">
      <c r="G784" s="29"/>
    </row>
    <row r="785">
      <c r="G785" s="29"/>
    </row>
    <row r="786">
      <c r="G786" s="29"/>
    </row>
    <row r="787">
      <c r="G787" s="29"/>
    </row>
    <row r="788">
      <c r="G788" s="29"/>
    </row>
    <row r="789">
      <c r="G789" s="29"/>
    </row>
    <row r="790">
      <c r="G790" s="29"/>
    </row>
    <row r="791">
      <c r="G791" s="29"/>
    </row>
    <row r="792">
      <c r="G792" s="29"/>
    </row>
    <row r="793">
      <c r="G793" s="29"/>
    </row>
    <row r="794">
      <c r="G794" s="29"/>
    </row>
    <row r="795">
      <c r="G795" s="29"/>
    </row>
    <row r="796">
      <c r="G796" s="29"/>
    </row>
    <row r="797">
      <c r="G797" s="29"/>
    </row>
    <row r="798">
      <c r="G798" s="29"/>
    </row>
    <row r="799">
      <c r="G799" s="29"/>
    </row>
    <row r="800">
      <c r="G800" s="29"/>
    </row>
    <row r="801">
      <c r="G801" s="29"/>
    </row>
    <row r="802">
      <c r="G802" s="29"/>
    </row>
    <row r="803">
      <c r="G803" s="29"/>
    </row>
    <row r="804">
      <c r="G804" s="29"/>
    </row>
    <row r="805">
      <c r="G805" s="29"/>
    </row>
    <row r="806">
      <c r="G806" s="29"/>
    </row>
    <row r="807">
      <c r="G807" s="29"/>
    </row>
    <row r="808">
      <c r="G808" s="29"/>
    </row>
    <row r="809">
      <c r="G809" s="29"/>
    </row>
    <row r="810">
      <c r="G810" s="29"/>
    </row>
    <row r="811">
      <c r="G811" s="29"/>
    </row>
    <row r="812">
      <c r="G812" s="29"/>
    </row>
    <row r="813">
      <c r="G813" s="29"/>
    </row>
    <row r="814">
      <c r="G814" s="29"/>
    </row>
    <row r="815">
      <c r="G815" s="29"/>
    </row>
    <row r="816">
      <c r="G816" s="29"/>
    </row>
    <row r="817">
      <c r="G817" s="29"/>
    </row>
    <row r="818">
      <c r="G818" s="29"/>
    </row>
    <row r="819">
      <c r="G819" s="29"/>
    </row>
    <row r="820">
      <c r="G820" s="29"/>
    </row>
    <row r="821">
      <c r="G821" s="29"/>
    </row>
    <row r="822">
      <c r="G822" s="29"/>
    </row>
    <row r="823">
      <c r="G823" s="29"/>
    </row>
    <row r="824">
      <c r="G824" s="29"/>
    </row>
    <row r="825">
      <c r="G825" s="29"/>
    </row>
    <row r="826">
      <c r="G826" s="29"/>
    </row>
    <row r="827">
      <c r="G827" s="29"/>
    </row>
    <row r="828">
      <c r="G828" s="29"/>
    </row>
    <row r="829">
      <c r="G829" s="29"/>
    </row>
    <row r="830">
      <c r="G830" s="29"/>
    </row>
    <row r="831">
      <c r="G831" s="29"/>
    </row>
    <row r="832">
      <c r="G832" s="29"/>
    </row>
    <row r="833">
      <c r="G833" s="29"/>
    </row>
    <row r="834">
      <c r="G834" s="29"/>
    </row>
    <row r="835">
      <c r="G835" s="29"/>
    </row>
    <row r="836">
      <c r="G836" s="29"/>
    </row>
    <row r="837">
      <c r="G837" s="29"/>
    </row>
    <row r="838">
      <c r="G838" s="29"/>
    </row>
    <row r="839">
      <c r="G839" s="29"/>
    </row>
    <row r="840">
      <c r="G840" s="29"/>
    </row>
    <row r="841">
      <c r="G841" s="29"/>
    </row>
    <row r="842">
      <c r="G842" s="29"/>
    </row>
    <row r="843">
      <c r="G843" s="29"/>
    </row>
    <row r="844">
      <c r="G844" s="29"/>
    </row>
    <row r="845">
      <c r="G845" s="29"/>
    </row>
    <row r="846">
      <c r="G846" s="29"/>
    </row>
    <row r="847">
      <c r="G847" s="29"/>
    </row>
    <row r="848">
      <c r="G848" s="29"/>
    </row>
    <row r="849">
      <c r="G849" s="29"/>
    </row>
    <row r="850">
      <c r="G850" s="29"/>
    </row>
    <row r="851">
      <c r="G851" s="29"/>
    </row>
    <row r="852">
      <c r="G852" s="29"/>
    </row>
    <row r="853">
      <c r="G853" s="29"/>
    </row>
    <row r="854">
      <c r="G854" s="29"/>
    </row>
    <row r="855">
      <c r="G855" s="29"/>
    </row>
    <row r="856">
      <c r="G856" s="29"/>
    </row>
    <row r="857">
      <c r="G857" s="29"/>
    </row>
    <row r="858">
      <c r="G858" s="29"/>
    </row>
    <row r="859">
      <c r="G859" s="29"/>
    </row>
    <row r="860">
      <c r="G860" s="29"/>
    </row>
    <row r="861">
      <c r="G861" s="29"/>
    </row>
    <row r="862">
      <c r="G862" s="29"/>
    </row>
    <row r="863">
      <c r="G863" s="29"/>
    </row>
    <row r="864">
      <c r="G864" s="29"/>
    </row>
    <row r="865">
      <c r="G865" s="29"/>
    </row>
    <row r="866">
      <c r="G866" s="29"/>
    </row>
    <row r="867">
      <c r="G867" s="29"/>
    </row>
    <row r="868">
      <c r="G868" s="29"/>
    </row>
    <row r="869">
      <c r="G869" s="29"/>
    </row>
    <row r="870">
      <c r="G870" s="29"/>
    </row>
    <row r="871">
      <c r="G871" s="29"/>
    </row>
    <row r="872">
      <c r="G872" s="29"/>
    </row>
    <row r="873">
      <c r="G873" s="29"/>
    </row>
    <row r="874">
      <c r="G874" s="29"/>
    </row>
    <row r="875">
      <c r="G875" s="29"/>
    </row>
    <row r="876">
      <c r="G876" s="29"/>
    </row>
    <row r="877">
      <c r="G877" s="29"/>
    </row>
    <row r="878">
      <c r="G878" s="29"/>
    </row>
    <row r="879">
      <c r="G879" s="29"/>
    </row>
    <row r="880">
      <c r="G880" s="29"/>
    </row>
    <row r="881">
      <c r="G881" s="29"/>
    </row>
    <row r="882">
      <c r="G882" s="29"/>
    </row>
    <row r="883">
      <c r="G883" s="29"/>
    </row>
    <row r="884">
      <c r="G884" s="29"/>
    </row>
    <row r="885">
      <c r="G885" s="29"/>
    </row>
    <row r="886">
      <c r="G886" s="29"/>
    </row>
    <row r="887">
      <c r="G887" s="29"/>
    </row>
    <row r="888">
      <c r="G888" s="29"/>
    </row>
    <row r="889">
      <c r="G889" s="29"/>
    </row>
    <row r="890">
      <c r="G890" s="29"/>
    </row>
    <row r="891">
      <c r="G891" s="29"/>
    </row>
    <row r="892">
      <c r="G892" s="29"/>
    </row>
    <row r="893">
      <c r="G893" s="29"/>
    </row>
    <row r="894">
      <c r="G894" s="29"/>
    </row>
    <row r="895">
      <c r="G895" s="29"/>
    </row>
    <row r="896">
      <c r="G896" s="29"/>
    </row>
    <row r="897">
      <c r="G897" s="29"/>
    </row>
    <row r="898">
      <c r="G898" s="29"/>
    </row>
    <row r="899">
      <c r="G899" s="29"/>
    </row>
    <row r="900">
      <c r="G900" s="29"/>
    </row>
    <row r="901">
      <c r="G901" s="29"/>
    </row>
    <row r="902">
      <c r="G902" s="29"/>
    </row>
    <row r="903">
      <c r="G903" s="29"/>
    </row>
    <row r="904">
      <c r="G904" s="29"/>
    </row>
    <row r="905">
      <c r="G905" s="29"/>
    </row>
    <row r="906">
      <c r="G906" s="29"/>
    </row>
    <row r="907">
      <c r="G907" s="29"/>
    </row>
    <row r="908">
      <c r="G908" s="29"/>
    </row>
    <row r="909">
      <c r="G909" s="29"/>
    </row>
    <row r="910">
      <c r="G910" s="29"/>
    </row>
    <row r="911">
      <c r="G911" s="29"/>
    </row>
    <row r="912">
      <c r="G912" s="29"/>
    </row>
    <row r="913">
      <c r="G913" s="29"/>
    </row>
    <row r="914">
      <c r="G914" s="29"/>
    </row>
    <row r="915">
      <c r="G915" s="29"/>
    </row>
    <row r="916">
      <c r="G916" s="29"/>
    </row>
    <row r="917">
      <c r="G917" s="29"/>
    </row>
    <row r="918">
      <c r="G918" s="29"/>
    </row>
    <row r="919">
      <c r="G919" s="29"/>
    </row>
    <row r="920">
      <c r="G920" s="29"/>
    </row>
    <row r="921">
      <c r="G921" s="29"/>
    </row>
    <row r="922">
      <c r="G922" s="29"/>
    </row>
    <row r="923">
      <c r="G923" s="29"/>
    </row>
    <row r="924">
      <c r="G924" s="29"/>
    </row>
    <row r="925">
      <c r="G925" s="29"/>
    </row>
    <row r="926">
      <c r="G926" s="29"/>
    </row>
    <row r="927">
      <c r="G927" s="29"/>
    </row>
    <row r="928">
      <c r="G928" s="29"/>
    </row>
    <row r="929">
      <c r="G929" s="29"/>
    </row>
    <row r="930">
      <c r="G930" s="29"/>
    </row>
    <row r="931">
      <c r="G931" s="29"/>
    </row>
    <row r="932">
      <c r="G932" s="29"/>
    </row>
    <row r="933">
      <c r="G933" s="29"/>
    </row>
    <row r="934">
      <c r="G934" s="29"/>
    </row>
    <row r="935">
      <c r="G935" s="29"/>
    </row>
    <row r="936">
      <c r="G936" s="29"/>
    </row>
    <row r="937">
      <c r="G937" s="29"/>
    </row>
    <row r="938">
      <c r="G938" s="29"/>
    </row>
    <row r="939">
      <c r="G939" s="29"/>
    </row>
    <row r="940">
      <c r="G940" s="29"/>
    </row>
    <row r="941">
      <c r="G941" s="29"/>
    </row>
    <row r="942">
      <c r="G942" s="29"/>
    </row>
    <row r="943">
      <c r="G943" s="29"/>
    </row>
    <row r="944">
      <c r="G944" s="29"/>
    </row>
    <row r="945">
      <c r="G945" s="29"/>
    </row>
    <row r="946">
      <c r="G946" s="29"/>
    </row>
    <row r="947">
      <c r="G947" s="29"/>
    </row>
    <row r="948">
      <c r="G948" s="29"/>
    </row>
    <row r="949">
      <c r="G949" s="29"/>
    </row>
    <row r="950">
      <c r="G950" s="29"/>
    </row>
    <row r="951">
      <c r="G951" s="29"/>
    </row>
    <row r="952">
      <c r="G952" s="29"/>
    </row>
    <row r="953">
      <c r="G953" s="29"/>
    </row>
    <row r="954">
      <c r="G954" s="29"/>
    </row>
    <row r="955">
      <c r="G955" s="29"/>
    </row>
    <row r="956">
      <c r="G956" s="29"/>
    </row>
    <row r="957">
      <c r="G957" s="29"/>
    </row>
    <row r="958">
      <c r="G958" s="29"/>
    </row>
    <row r="959">
      <c r="G959" s="29"/>
    </row>
    <row r="960">
      <c r="G960" s="29"/>
    </row>
    <row r="961">
      <c r="G961" s="29"/>
    </row>
    <row r="962">
      <c r="G962" s="29"/>
    </row>
    <row r="963">
      <c r="G963" s="29"/>
    </row>
    <row r="964">
      <c r="G964" s="29"/>
    </row>
    <row r="965">
      <c r="G965" s="29"/>
    </row>
    <row r="966">
      <c r="G966" s="29"/>
    </row>
    <row r="967">
      <c r="G967" s="29"/>
    </row>
    <row r="968">
      <c r="G968" s="29"/>
    </row>
    <row r="969">
      <c r="G969" s="29"/>
    </row>
    <row r="970">
      <c r="G970" s="29"/>
    </row>
    <row r="971">
      <c r="G971" s="29"/>
    </row>
    <row r="972">
      <c r="G972" s="29"/>
    </row>
    <row r="973">
      <c r="G973" s="29"/>
    </row>
    <row r="974">
      <c r="G974" s="29"/>
    </row>
    <row r="975">
      <c r="G975" s="29"/>
    </row>
    <row r="976">
      <c r="G976" s="29"/>
    </row>
    <row r="977">
      <c r="G977" s="29"/>
    </row>
    <row r="978">
      <c r="G978" s="29"/>
    </row>
    <row r="979">
      <c r="G979" s="29"/>
    </row>
    <row r="980">
      <c r="G980" s="29"/>
    </row>
    <row r="981">
      <c r="G981" s="29"/>
    </row>
    <row r="982">
      <c r="G982" s="29"/>
    </row>
    <row r="983">
      <c r="G983" s="29"/>
    </row>
    <row r="984">
      <c r="G984" s="29"/>
    </row>
    <row r="985">
      <c r="G985" s="29"/>
    </row>
    <row r="986">
      <c r="G986" s="29"/>
    </row>
    <row r="987">
      <c r="G987" s="29"/>
    </row>
    <row r="988">
      <c r="G988" s="29"/>
    </row>
    <row r="989">
      <c r="G989" s="29"/>
    </row>
    <row r="990">
      <c r="G990" s="29"/>
    </row>
    <row r="991">
      <c r="G991" s="29"/>
    </row>
  </sheetData>
  <mergeCells count="10">
    <mergeCell ref="D4:F4"/>
    <mergeCell ref="G4:J4"/>
    <mergeCell ref="A1:I1"/>
    <mergeCell ref="J1:N1"/>
    <mergeCell ref="A3:C3"/>
    <mergeCell ref="D3:F3"/>
    <mergeCell ref="G3:J3"/>
    <mergeCell ref="K3:N3"/>
    <mergeCell ref="A4:C4"/>
    <mergeCell ref="K4:N4"/>
  </mergeCells>
  <conditionalFormatting sqref="A7:N49">
    <cfRule type="expression" dxfId="4" priority="1" stopIfTrue="1">
      <formula>$N7="Đã hoàn thành bù"</formula>
    </cfRule>
  </conditionalFormatting>
  <conditionalFormatting sqref="A7:N49">
    <cfRule type="expression" dxfId="5" priority="2" stopIfTrue="1">
      <formula>$N7="Quá hạn"</formula>
    </cfRule>
  </conditionalFormatting>
  <conditionalFormatting sqref="A7:N49">
    <cfRule type="expression" dxfId="6" priority="3" stopIfTrue="1">
      <formula>OR($N7="Hoàn thành bù", $N7="Dời lịch")</formula>
    </cfRule>
  </conditionalFormatting>
  <conditionalFormatting sqref="A7:N991">
    <cfRule type="expression" dxfId="4" priority="4" stopIfTrue="1">
      <formula>AND($C7=TRUE, $F7="IELTS")</formula>
    </cfRule>
  </conditionalFormatting>
  <conditionalFormatting sqref="G7:G991">
    <cfRule type="expression" dxfId="7" priority="5" stopIfTrue="1">
      <formula>$F7&lt;&gt;"IELTS"</formula>
    </cfRule>
  </conditionalFormatting>
  <conditionalFormatting sqref="A7:N991">
    <cfRule type="expression" dxfId="0" priority="6" stopIfTrue="1">
      <formula>$C7=TRUE</formula>
    </cfRule>
  </conditionalFormatting>
  <dataValidations>
    <dataValidation type="list" allowBlank="1" sqref="M7:M49">
      <formula1>'Nhật ký nhiệm vụ'!$A$7:$A$50</formula1>
    </dataValidation>
    <dataValidation type="custom" allowBlank="1" sqref="B7:B49 A50:B86">
      <formula1>OR(NOT(ISERROR(DATEVALUE(A7))), AND(ISNUMBER(A7), LEFT(CELL("format", A7))="D"))</formula1>
    </dataValidation>
    <dataValidation type="list" allowBlank="1" sqref="I7:I49">
      <formula1>"Khẩn cấp,Cao,Bình thường,Thấp"</formula1>
    </dataValidation>
    <dataValidation type="list" allowBlank="1" sqref="F7:F49">
      <formula1>"Học tập,IELTS,Thể thao,Cá nhân,Ôn tập,Làm thêm"</formula1>
    </dataValidation>
    <dataValidation type="list" allowBlank="1" sqref="D7:E49">
      <formula1>'Dữ liệu'!$V$2:$V$289</formula1>
    </dataValidation>
    <dataValidation type="list" allowBlank="1" sqref="G7:G49">
      <formula1>"Vocabulary,Grammar,Pronunciation,Listening,Reading,Speaking,Writing"</formula1>
    </dataValidation>
    <dataValidation type="list" allowBlank="1" sqref="H7:H49">
      <formula1>'Dữ liệu'!$X$4:$X$15</formula1>
    </dataValidation>
  </dataValidations>
  <hyperlinks>
    <hyperlink display="⌂ Về Dashboard" location="Dashboard!A1" ref="J1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6.14"/>
    <col customWidth="1" min="2" max="2" width="11.0"/>
    <col customWidth="1" min="3" max="3" width="19.43"/>
    <col customWidth="1" min="4" max="4" width="16.57"/>
    <col customWidth="1" min="5" max="5" width="15.86"/>
    <col customWidth="1" min="6" max="6" width="3.0"/>
    <col customWidth="1" min="7" max="7" width="22.29"/>
    <col customWidth="1" min="8" max="8" width="11.57"/>
    <col customWidth="1" min="9" max="9" width="7.43"/>
    <col customWidth="1" min="10" max="10" width="8.0"/>
    <col customWidth="1" min="11" max="11" width="6.43"/>
    <col customWidth="1" min="12" max="12" width="11.86"/>
    <col customWidth="1" min="13" max="26" width="8.71"/>
  </cols>
  <sheetData>
    <row r="1" ht="30.0" customHeight="1">
      <c r="A1" s="2" t="s">
        <v>0</v>
      </c>
      <c r="B1" s="3"/>
      <c r="C1" s="3"/>
      <c r="D1" s="3"/>
      <c r="E1" s="3"/>
      <c r="F1" s="3"/>
      <c r="G1" s="6" t="str">
        <f>HYPERLINK("#gid=13634334","⌂ Về Dashboard")</f>
        <v>⌂ Về Dashboard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4</v>
      </c>
      <c r="B3" s="14">
        <v>46258.0</v>
      </c>
      <c r="C3" s="17" t="s">
        <v>5</v>
      </c>
      <c r="D3" s="18" t="s">
        <v>7</v>
      </c>
      <c r="E3" s="18" t="s">
        <v>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11</v>
      </c>
      <c r="B4" s="14">
        <v>46362.0</v>
      </c>
      <c r="C4" s="7"/>
      <c r="D4" s="19">
        <f>IFERROR(C26,"–")</f>
        <v>8.17</v>
      </c>
      <c r="E4" s="21" t="str">
        <f>IFERROR(E26,"–")</f>
        <v>Xuất sắc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 t="s">
        <v>12</v>
      </c>
      <c r="B5" s="22">
        <f>ROUND((B4-B3+1)/7,0)</f>
        <v>15</v>
      </c>
      <c r="C5" s="7"/>
      <c r="D5" s="18" t="s">
        <v>13</v>
      </c>
      <c r="E5" s="18" t="s">
        <v>14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15</v>
      </c>
      <c r="B6" s="22">
        <f>MAX(0,ROUNDUP((B4-MAX(TODAY(),B3)+1)/7,0))</f>
        <v>9</v>
      </c>
      <c r="C6" s="7"/>
      <c r="D6" s="19">
        <f>IFERROR(D26,"–")</f>
        <v>3.6</v>
      </c>
      <c r="E6" s="19">
        <f>IFERROR(B26,"–")</f>
        <v>15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6" t="s">
        <v>17</v>
      </c>
      <c r="B8" s="27"/>
      <c r="C8" s="27"/>
      <c r="D8" s="27"/>
      <c r="E8" s="27"/>
      <c r="F8" s="7"/>
      <c r="G8" s="26" t="s">
        <v>28</v>
      </c>
      <c r="H8" s="27"/>
      <c r="I8" s="27"/>
      <c r="J8" s="27"/>
      <c r="K8" s="27"/>
      <c r="L8" s="2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7.75" customHeight="1">
      <c r="A9" s="28" t="s">
        <v>32</v>
      </c>
      <c r="B9" s="28" t="s">
        <v>33</v>
      </c>
      <c r="C9" s="28" t="s">
        <v>34</v>
      </c>
      <c r="D9" s="28" t="s">
        <v>35</v>
      </c>
      <c r="E9" s="28" t="s">
        <v>27</v>
      </c>
      <c r="F9" s="7"/>
      <c r="G9" s="28" t="s">
        <v>32</v>
      </c>
      <c r="H9" s="28" t="s">
        <v>36</v>
      </c>
      <c r="I9" s="28" t="s">
        <v>20</v>
      </c>
      <c r="J9" s="28" t="s">
        <v>21</v>
      </c>
      <c r="K9" s="28" t="s">
        <v>37</v>
      </c>
      <c r="L9" s="28" t="s">
        <v>38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39</v>
      </c>
      <c r="B10" s="30" t="s">
        <v>40</v>
      </c>
      <c r="C10" s="30" t="s">
        <v>41</v>
      </c>
      <c r="D10" s="30">
        <v>2.0</v>
      </c>
      <c r="E10" s="30"/>
      <c r="F10" s="7"/>
      <c r="G10" s="34" t="s">
        <v>42</v>
      </c>
      <c r="H10" s="34" t="s">
        <v>43</v>
      </c>
      <c r="I10" s="35">
        <v>0.3125</v>
      </c>
      <c r="J10" s="35">
        <v>0.395833333333333</v>
      </c>
      <c r="K10" s="34" t="s">
        <v>44</v>
      </c>
      <c r="L10" s="38" t="str">
        <f>IF(OR(G10="",H10&lt;&gt;Dashboard!$C$4),"",COUNTIFS($H$10:$H$49,Dashboard!$C$4,$I$10:$I$49,"&lt;"&amp;I10)+COUNTIFS($H$10:H10,Dashboard!$C$4,$I$10:I10,I10))</f>
        <v/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0" t="s">
        <v>42</v>
      </c>
      <c r="B11" s="30" t="s">
        <v>48</v>
      </c>
      <c r="C11" s="30" t="s">
        <v>50</v>
      </c>
      <c r="D11" s="30">
        <v>3.0</v>
      </c>
      <c r="E11" s="30"/>
      <c r="F11" s="7"/>
      <c r="G11" s="34" t="s">
        <v>39</v>
      </c>
      <c r="H11" s="34" t="s">
        <v>43</v>
      </c>
      <c r="I11" s="35">
        <v>0.541666666666667</v>
      </c>
      <c r="J11" s="35">
        <v>0.625</v>
      </c>
      <c r="K11" s="34" t="s">
        <v>51</v>
      </c>
      <c r="L11" s="38" t="str">
        <f>IF(OR(G11="",H11&lt;&gt;Dashboard!$C$4),"",COUNTIFS($H$10:$H$49,Dashboard!$C$4,$I$10:$I$49,"&lt;"&amp;I11)+COUNTIFS($H$10:H11,Dashboard!$C$4,$I$10:I11,I11))</f>
        <v/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0" t="s">
        <v>53</v>
      </c>
      <c r="B12" s="30" t="s">
        <v>54</v>
      </c>
      <c r="C12" s="30" t="s">
        <v>55</v>
      </c>
      <c r="D12" s="30">
        <v>2.0</v>
      </c>
      <c r="E12" s="30"/>
      <c r="F12" s="7"/>
      <c r="G12" s="34" t="s">
        <v>56</v>
      </c>
      <c r="H12" s="34" t="s">
        <v>57</v>
      </c>
      <c r="I12" s="35">
        <v>0.3125</v>
      </c>
      <c r="J12" s="35">
        <v>0.4375</v>
      </c>
      <c r="K12" s="34" t="s">
        <v>58</v>
      </c>
      <c r="L12" s="38" t="str">
        <f>IF(OR(G12="",H12&lt;&gt;Dashboard!$C$4),"",COUNTIFS($H$10:$H$49,Dashboard!$C$4,$I$10:$I$49,"&lt;"&amp;I12)+COUNTIFS($H$10:H12,Dashboard!$C$4,$I$10:I12,I12))</f>
        <v/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0" t="s">
        <v>56</v>
      </c>
      <c r="B13" s="30" t="s">
        <v>59</v>
      </c>
      <c r="C13" s="30" t="s">
        <v>60</v>
      </c>
      <c r="D13" s="30">
        <v>3.0</v>
      </c>
      <c r="E13" s="30"/>
      <c r="F13" s="7"/>
      <c r="G13" s="34" t="s">
        <v>53</v>
      </c>
      <c r="H13" s="34" t="s">
        <v>62</v>
      </c>
      <c r="I13" s="35">
        <v>0.375</v>
      </c>
      <c r="J13" s="35">
        <v>0.458333333333333</v>
      </c>
      <c r="K13" s="34" t="s">
        <v>63</v>
      </c>
      <c r="L13" s="38" t="str">
        <f>IF(OR(G13="",H13&lt;&gt;Dashboard!$C$4),"",COUNTIFS($H$10:$H$49,Dashboard!$C$4,$I$10:$I$49,"&lt;"&amp;I13)+COUNTIFS($H$10:H13,Dashboard!$C$4,$I$10:I13,I13))</f>
        <v/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0" t="s">
        <v>65</v>
      </c>
      <c r="B14" s="30" t="s">
        <v>67</v>
      </c>
      <c r="C14" s="30" t="s">
        <v>68</v>
      </c>
      <c r="D14" s="30">
        <v>3.0</v>
      </c>
      <c r="E14" s="30"/>
      <c r="F14" s="7"/>
      <c r="G14" s="34" t="s">
        <v>65</v>
      </c>
      <c r="H14" s="34" t="s">
        <v>62</v>
      </c>
      <c r="I14" s="35">
        <v>0.5625</v>
      </c>
      <c r="J14" s="35">
        <v>0.645833333333333</v>
      </c>
      <c r="K14" s="34" t="s">
        <v>70</v>
      </c>
      <c r="L14" s="38" t="str">
        <f>IF(OR(G14="",H14&lt;&gt;Dashboard!$C$4),"",COUNTIFS($H$10:$H$49,Dashboard!$C$4,$I$10:$I$49,"&lt;"&amp;I14)+COUNTIFS($H$10:H14,Dashboard!$C$4,$I$10:I14,I14))</f>
        <v/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0" t="s">
        <v>71</v>
      </c>
      <c r="B15" s="30" t="s">
        <v>72</v>
      </c>
      <c r="C15" s="30" t="s">
        <v>73</v>
      </c>
      <c r="D15" s="30">
        <v>2.0</v>
      </c>
      <c r="E15" s="30"/>
      <c r="F15" s="7"/>
      <c r="G15" s="34" t="s">
        <v>42</v>
      </c>
      <c r="H15" s="34" t="s">
        <v>74</v>
      </c>
      <c r="I15" s="35">
        <v>0.375</v>
      </c>
      <c r="J15" s="35">
        <v>0.458333333333333</v>
      </c>
      <c r="K15" s="34" t="s">
        <v>44</v>
      </c>
      <c r="L15" s="38" t="str">
        <f>IF(OR(G15="",H15&lt;&gt;Dashboard!$C$4),"",COUNTIFS($H$10:$H$49,Dashboard!$C$4,$I$10:$I$49,"&lt;"&amp;I15)+COUNTIFS($H$10:H15,Dashboard!$C$4,$I$10:I15,I15))</f>
        <v/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0"/>
      <c r="B16" s="30"/>
      <c r="C16" s="30"/>
      <c r="D16" s="30"/>
      <c r="E16" s="30"/>
      <c r="F16" s="7"/>
      <c r="G16" s="34" t="s">
        <v>71</v>
      </c>
      <c r="H16" s="34" t="s">
        <v>75</v>
      </c>
      <c r="I16" s="35">
        <v>0.583333333333333</v>
      </c>
      <c r="J16" s="35">
        <v>0.666666666666667</v>
      </c>
      <c r="K16" s="34" t="s">
        <v>76</v>
      </c>
      <c r="L16" s="38" t="str">
        <f>IF(OR(G16="",H16&lt;&gt;Dashboard!$C$4),"",COUNTIFS($H$10:$H$49,Dashboard!$C$4,$I$10:$I$49,"&lt;"&amp;I16)+COUNTIFS($H$10:H16,Dashboard!$C$4,$I$10:I16,I16))</f>
        <v/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0"/>
      <c r="B17" s="30"/>
      <c r="C17" s="30"/>
      <c r="D17" s="30"/>
      <c r="E17" s="30"/>
      <c r="F17" s="7"/>
      <c r="G17" s="34" t="s">
        <v>56</v>
      </c>
      <c r="H17" s="34" t="s">
        <v>75</v>
      </c>
      <c r="I17" s="35">
        <v>0.333333333333333</v>
      </c>
      <c r="J17" s="35">
        <v>0.416666666666667</v>
      </c>
      <c r="K17" s="34" t="s">
        <v>58</v>
      </c>
      <c r="L17" s="38" t="str">
        <f>IF(OR(G17="",H17&lt;&gt;Dashboard!$C$4),"",COUNTIFS($H$10:$H$49,Dashboard!$C$4,$I$10:$I$49,"&lt;"&amp;I17)+COUNTIFS($H$10:H17,Dashboard!$C$4,$I$10:I17,I17))</f>
        <v/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7" t="s">
        <v>93</v>
      </c>
      <c r="B18" s="15"/>
      <c r="C18" s="15"/>
      <c r="D18" s="15"/>
      <c r="E18" s="16"/>
      <c r="F18" s="7"/>
      <c r="G18" s="34"/>
      <c r="H18" s="34"/>
      <c r="I18" s="35"/>
      <c r="J18" s="35"/>
      <c r="K18" s="34"/>
      <c r="L18" s="3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1" t="s">
        <v>32</v>
      </c>
      <c r="B19" s="61" t="s">
        <v>35</v>
      </c>
      <c r="C19" s="61" t="s">
        <v>97</v>
      </c>
      <c r="D19" s="61" t="s">
        <v>99</v>
      </c>
      <c r="E19" s="61" t="s">
        <v>100</v>
      </c>
      <c r="F19" s="7"/>
      <c r="G19" s="34"/>
      <c r="H19" s="34"/>
      <c r="I19" s="35"/>
      <c r="J19" s="35"/>
      <c r="K19" s="34"/>
      <c r="L19" s="3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7" t="str">
        <f t="shared" ref="A20:A25" si="1">IF(A10="","",A10)</f>
        <v>Tâm lý học</v>
      </c>
      <c r="B20" s="72">
        <f t="shared" ref="B20:B25" si="2">IF(A20="","",D10)</f>
        <v>2</v>
      </c>
      <c r="C20" s="73">
        <v>8.5</v>
      </c>
      <c r="D20" s="72">
        <f t="shared" ref="D20:D25" si="3">IF(C20="","",IF(C20&gt;=8.5,4,IF(C20&gt;=8,3.5,IF(C20&gt;=7,3,IF(C20&gt;=6.5,2.5,IF(C20&gt;=5.5,2,IF(C20&gt;=5,1.5,IF(C20&gt;=4,1,0))))))))</f>
        <v>4</v>
      </c>
      <c r="E20" s="72" t="str">
        <f t="shared" ref="E20:E25" si="4">IF(C20="","",IF(C20&gt;=9,"Xuất sắc",IF(C20&gt;=8,"Giỏi",IF(C20&gt;=6.5,"Khá",IF(C20&gt;=5,"Trung bình","Yếu")))))</f>
        <v>Giỏi</v>
      </c>
      <c r="F20" s="7"/>
      <c r="G20" s="34"/>
      <c r="H20" s="34"/>
      <c r="I20" s="35"/>
      <c r="J20" s="35"/>
      <c r="K20" s="34"/>
      <c r="L20" s="3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7" t="str">
        <f t="shared" si="1"/>
        <v>Toán cao cấp</v>
      </c>
      <c r="B21" s="72">
        <f t="shared" si="2"/>
        <v>3</v>
      </c>
      <c r="C21" s="73">
        <v>8.0</v>
      </c>
      <c r="D21" s="72">
        <f t="shared" si="3"/>
        <v>3.5</v>
      </c>
      <c r="E21" s="72" t="str">
        <f t="shared" si="4"/>
        <v>Giỏi</v>
      </c>
      <c r="F21" s="7"/>
      <c r="G21" s="34"/>
      <c r="H21" s="34"/>
      <c r="I21" s="35"/>
      <c r="J21" s="35"/>
      <c r="K21" s="34"/>
      <c r="L21" s="3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7" t="str">
        <f t="shared" si="1"/>
        <v>Tiếng Anh giao tiếp</v>
      </c>
      <c r="B22" s="72">
        <f t="shared" si="2"/>
        <v>2</v>
      </c>
      <c r="C22" s="73">
        <v>8.5</v>
      </c>
      <c r="D22" s="72">
        <f t="shared" si="3"/>
        <v>4</v>
      </c>
      <c r="E22" s="72" t="str">
        <f t="shared" si="4"/>
        <v>Giỏi</v>
      </c>
      <c r="F22" s="7"/>
      <c r="G22" s="34"/>
      <c r="H22" s="34"/>
      <c r="I22" s="35"/>
      <c r="J22" s="35"/>
      <c r="K22" s="34"/>
      <c r="L22" s="3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67" t="str">
        <f t="shared" si="1"/>
        <v>Lập trình C++</v>
      </c>
      <c r="B23" s="72">
        <f t="shared" si="2"/>
        <v>3</v>
      </c>
      <c r="C23" s="73">
        <v>7.5</v>
      </c>
      <c r="D23" s="72">
        <f t="shared" si="3"/>
        <v>3</v>
      </c>
      <c r="E23" s="72" t="str">
        <f t="shared" si="4"/>
        <v>Khá</v>
      </c>
      <c r="F23" s="7"/>
      <c r="G23" s="34"/>
      <c r="H23" s="34"/>
      <c r="I23" s="35"/>
      <c r="J23" s="35"/>
      <c r="K23" s="34"/>
      <c r="L23" s="3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67" t="str">
        <f t="shared" si="1"/>
        <v>Triết học Mác-Lênin</v>
      </c>
      <c r="B24" s="72">
        <f t="shared" si="2"/>
        <v>3</v>
      </c>
      <c r="C24" s="73">
        <v>8.0</v>
      </c>
      <c r="D24" s="72">
        <f t="shared" si="3"/>
        <v>3.5</v>
      </c>
      <c r="E24" s="72" t="str">
        <f t="shared" si="4"/>
        <v>Giỏi</v>
      </c>
      <c r="F24" s="7"/>
      <c r="G24" s="34"/>
      <c r="H24" s="34"/>
      <c r="I24" s="35"/>
      <c r="J24" s="35"/>
      <c r="K24" s="34"/>
      <c r="L24" s="3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7" t="str">
        <f t="shared" si="1"/>
        <v>Kỹ năng mềm</v>
      </c>
      <c r="B25" s="72">
        <f t="shared" si="2"/>
        <v>2</v>
      </c>
      <c r="C25" s="73">
        <v>9.0</v>
      </c>
      <c r="D25" s="72">
        <f t="shared" si="3"/>
        <v>4</v>
      </c>
      <c r="E25" s="72" t="str">
        <f t="shared" si="4"/>
        <v>Xuất sắc</v>
      </c>
      <c r="F25" s="7"/>
      <c r="G25" s="34"/>
      <c r="H25" s="34"/>
      <c r="I25" s="35"/>
      <c r="J25" s="35"/>
      <c r="K25" s="34"/>
      <c r="L25" s="3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7" t="s">
        <v>139</v>
      </c>
      <c r="B26" s="89">
        <f>SUM(B20:B25)</f>
        <v>15</v>
      </c>
      <c r="C26" s="89">
        <f>IF(B26=0,"",ROUND(SUMPRODUCT(B20:B25,C20:C25)/B26,2))</f>
        <v>8.17</v>
      </c>
      <c r="D26" s="89">
        <f>IF(B26=0,"",ROUND(SUMPRODUCT(B20:B25,D20:D25)/B26,2))</f>
        <v>3.6</v>
      </c>
      <c r="E26" s="89" t="str">
        <f>IF(D26="","",IF(D26&gt;=3.6,"Xuất sắc",IF(D26&gt;=3.2,"Giỏi",IF(D26&gt;=2.5,"Khá",IF(D26&gt;=2,"Trung bình","Yếu")))))</f>
        <v>Xuất sắc</v>
      </c>
      <c r="F26" s="7"/>
      <c r="G26" s="34"/>
      <c r="H26" s="34"/>
      <c r="I26" s="35"/>
      <c r="J26" s="35"/>
      <c r="K26" s="34"/>
      <c r="L26" s="3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0"/>
      <c r="B27" s="30"/>
      <c r="C27" s="30"/>
      <c r="D27" s="30"/>
      <c r="E27" s="30"/>
      <c r="F27" s="7"/>
      <c r="G27" s="34"/>
      <c r="H27" s="34"/>
      <c r="I27" s="35"/>
      <c r="J27" s="35"/>
      <c r="K27" s="34"/>
      <c r="L27" s="3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0"/>
      <c r="B28" s="30"/>
      <c r="C28" s="30"/>
      <c r="D28" s="30"/>
      <c r="E28" s="30"/>
      <c r="F28" s="7"/>
      <c r="G28" s="34"/>
      <c r="H28" s="34"/>
      <c r="I28" s="35"/>
      <c r="J28" s="35"/>
      <c r="K28" s="34"/>
      <c r="L28" s="3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0"/>
      <c r="B29" s="30"/>
      <c r="C29" s="30"/>
      <c r="D29" s="30"/>
      <c r="E29" s="30"/>
      <c r="F29" s="7"/>
      <c r="G29" s="34"/>
      <c r="H29" s="34"/>
      <c r="I29" s="35"/>
      <c r="J29" s="35"/>
      <c r="K29" s="34"/>
      <c r="L29" s="3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34"/>
      <c r="H30" s="34"/>
      <c r="I30" s="35"/>
      <c r="J30" s="35"/>
      <c r="K30" s="34"/>
      <c r="L30" s="3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34"/>
      <c r="H31" s="34"/>
      <c r="I31" s="35"/>
      <c r="J31" s="35"/>
      <c r="K31" s="34"/>
      <c r="L31" s="3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34"/>
      <c r="H32" s="34"/>
      <c r="I32" s="35"/>
      <c r="J32" s="35"/>
      <c r="K32" s="34"/>
      <c r="L32" s="3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34"/>
      <c r="H33" s="34"/>
      <c r="I33" s="35"/>
      <c r="J33" s="35"/>
      <c r="K33" s="34"/>
      <c r="L33" s="3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34"/>
      <c r="H34" s="34"/>
      <c r="I34" s="35"/>
      <c r="J34" s="35"/>
      <c r="K34" s="34"/>
      <c r="L34" s="3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34"/>
      <c r="H35" s="34"/>
      <c r="I35" s="35"/>
      <c r="J35" s="35"/>
      <c r="K35" s="34"/>
      <c r="L35" s="3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34"/>
      <c r="H36" s="34"/>
      <c r="I36" s="35"/>
      <c r="J36" s="35"/>
      <c r="K36" s="34"/>
      <c r="L36" s="3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34"/>
      <c r="H37" s="34"/>
      <c r="I37" s="35"/>
      <c r="J37" s="35"/>
      <c r="K37" s="34"/>
      <c r="L37" s="3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34"/>
      <c r="H38" s="34"/>
      <c r="I38" s="35"/>
      <c r="J38" s="35"/>
      <c r="K38" s="34"/>
      <c r="L38" s="3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34"/>
      <c r="H39" s="34"/>
      <c r="I39" s="35"/>
      <c r="J39" s="35"/>
      <c r="K39" s="34"/>
      <c r="L39" s="3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34"/>
      <c r="H40" s="34"/>
      <c r="I40" s="35"/>
      <c r="J40" s="35"/>
      <c r="K40" s="34"/>
      <c r="L40" s="3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34"/>
      <c r="H41" s="34"/>
      <c r="I41" s="35"/>
      <c r="J41" s="35"/>
      <c r="K41" s="34"/>
      <c r="L41" s="3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34"/>
      <c r="H42" s="34"/>
      <c r="I42" s="35"/>
      <c r="J42" s="35"/>
      <c r="K42" s="34"/>
      <c r="L42" s="3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34"/>
      <c r="H43" s="34"/>
      <c r="I43" s="35"/>
      <c r="J43" s="35"/>
      <c r="K43" s="34"/>
      <c r="L43" s="3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34"/>
      <c r="H44" s="34"/>
      <c r="I44" s="35"/>
      <c r="J44" s="35"/>
      <c r="K44" s="34"/>
      <c r="L44" s="3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34"/>
      <c r="H45" s="34"/>
      <c r="I45" s="35"/>
      <c r="J45" s="35"/>
      <c r="K45" s="34"/>
      <c r="L45" s="3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34"/>
      <c r="H46" s="34"/>
      <c r="I46" s="35"/>
      <c r="J46" s="35"/>
      <c r="K46" s="34"/>
      <c r="L46" s="3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34"/>
      <c r="H47" s="34"/>
      <c r="I47" s="35"/>
      <c r="J47" s="35"/>
      <c r="K47" s="34"/>
      <c r="L47" s="3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34"/>
      <c r="H48" s="34"/>
      <c r="I48" s="35"/>
      <c r="J48" s="35"/>
      <c r="K48" s="34"/>
      <c r="L48" s="3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34"/>
      <c r="H49" s="34"/>
      <c r="I49" s="35"/>
      <c r="J49" s="35"/>
      <c r="K49" s="34"/>
      <c r="L49" s="3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G1:L1"/>
    <mergeCell ref="A18:E18"/>
  </mergeCells>
  <dataValidations>
    <dataValidation type="list" allowBlank="1" sqref="G10:G49">
      <formula1>$A$10:$A$29</formula1>
    </dataValidation>
    <dataValidation type="list" allowBlank="1" sqref="H10:H49">
      <formula1>"Thứ Hai,Thứ Ba,Thứ Tư,Thứ Năm,Thứ Sáu,Thứ Bảy,Chủ Nhật"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86"/>
    <col customWidth="1" min="2" max="8" width="16.57"/>
    <col customWidth="1" min="9" max="26" width="8.71"/>
  </cols>
  <sheetData>
    <row r="1" ht="30.0" customHeight="1">
      <c r="A1" s="107" t="s">
        <v>28</v>
      </c>
      <c r="B1" s="108"/>
      <c r="C1" s="108"/>
      <c r="D1" s="108"/>
      <c r="E1" s="108"/>
      <c r="F1" s="108"/>
      <c r="G1" s="109"/>
      <c r="H1" s="111" t="s">
        <v>2</v>
      </c>
      <c r="I1" s="7"/>
      <c r="J1" s="112" t="s">
        <v>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4" t="s">
        <v>154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8" t="s">
        <v>155</v>
      </c>
      <c r="B4" s="28" t="s">
        <v>43</v>
      </c>
      <c r="C4" s="28" t="s">
        <v>57</v>
      </c>
      <c r="D4" s="28" t="s">
        <v>62</v>
      </c>
      <c r="E4" s="28" t="s">
        <v>74</v>
      </c>
      <c r="F4" s="28" t="s">
        <v>75</v>
      </c>
      <c r="G4" s="28" t="s">
        <v>156</v>
      </c>
      <c r="H4" s="28" t="s">
        <v>157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6">
        <v>0.25</v>
      </c>
      <c r="B5" s="123" t="str">
        <f t="array" ref="B5">IF(SUMPRODUCT(('Thông tin lớp học'!$H$10:$H$49=B$4)*('Thông tin lớp học'!$I$10:$I$49&lt;=$A5+0.000001)*('Thông tin lớp học'!$J$10:$J$49&gt;$A5+0.000001))=0,"",IF(SUMPRODUCT(('Thông tin lớp học'!$H$10:$H$49=B$4)*('Thông tin lớp học'!$I$10:$I$49&lt;=$A5+0.000001)*('Thông tin lớp học'!$J$10:$J$49&gt;$A5+0.000001))&gt;1,"⚠ Trùng lịch",INDEX('Thông tin lớp học'!$G$10:$G$49,SUMPRODUCT(('Thông tin lớp học'!$H$10:$H$49=B$4)*('Thông tin lớp học'!$I$10:$I$49&lt;=$A5+0.000001)*('Thông tin lớp học'!$J$10:$J$49&gt;$A5+0.000001)*(ROW('Thông tin lớp học'!$H$10:$H$49)-9)))&amp;" ("&amp;INDEX('Thông tin lớp học'!$K$10:$K$49,SUMPRODUCT(('Thông tin lớp học'!$H$10:$H$49=B$4)*('Thông tin lớp học'!$I$10:$I$49&lt;=$A5+0.000001)*('Thông tin lớp học'!$J$10:$J$49&gt;$A5+0.000001)*(ROW('Thông tin lớp học'!$H$10:$H$49)-9)))&amp;")"))</f>
        <v/>
      </c>
      <c r="C5" s="123" t="str">
        <f t="array" ref="C5">IF(SUMPRODUCT(('Thông tin lớp học'!$H$10:$H$49=C$4)*('Thông tin lớp học'!$I$10:$I$49&lt;=$A5+0.000001)*('Thông tin lớp học'!$J$10:$J$49&gt;$A5+0.000001))=0,"",IF(SUMPRODUCT(('Thông tin lớp học'!$H$10:$H$49=C$4)*('Thông tin lớp học'!$I$10:$I$49&lt;=$A5+0.000001)*('Thông tin lớp học'!$J$10:$J$49&gt;$A5+0.000001))&gt;1,"⚠ Trùng lịch",INDEX('Thông tin lớp học'!$G$10:$G$49,SUMPRODUCT(('Thông tin lớp học'!$H$10:$H$49=C$4)*('Thông tin lớp học'!$I$10:$I$49&lt;=$A5+0.000001)*('Thông tin lớp học'!$J$10:$J$49&gt;$A5+0.000001)*(ROW('Thông tin lớp học'!$H$10:$H$49)-9)))&amp;" ("&amp;INDEX('Thông tin lớp học'!$K$10:$K$49,SUMPRODUCT(('Thông tin lớp học'!$H$10:$H$49=C$4)*('Thông tin lớp học'!$I$10:$I$49&lt;=$A5+0.000001)*('Thông tin lớp học'!$J$10:$J$49&gt;$A5+0.000001)*(ROW('Thông tin lớp học'!$H$10:$H$49)-9)))&amp;")"))</f>
        <v/>
      </c>
      <c r="D5" s="123" t="str">
        <f t="array" ref="D5">IF(SUMPRODUCT(('Thông tin lớp học'!$H$10:$H$49=D$4)*('Thông tin lớp học'!$I$10:$I$49&lt;=$A5+0.000001)*('Thông tin lớp học'!$J$10:$J$49&gt;$A5+0.000001))=0,"",IF(SUMPRODUCT(('Thông tin lớp học'!$H$10:$H$49=D$4)*('Thông tin lớp học'!$I$10:$I$49&lt;=$A5+0.000001)*('Thông tin lớp học'!$J$10:$J$49&gt;$A5+0.000001))&gt;1,"⚠ Trùng lịch",INDEX('Thông tin lớp học'!$G$10:$G$49,SUMPRODUCT(('Thông tin lớp học'!$H$10:$H$49=D$4)*('Thông tin lớp học'!$I$10:$I$49&lt;=$A5+0.000001)*('Thông tin lớp học'!$J$10:$J$49&gt;$A5+0.000001)*(ROW('Thông tin lớp học'!$H$10:$H$49)-9)))&amp;" ("&amp;INDEX('Thông tin lớp học'!$K$10:$K$49,SUMPRODUCT(('Thông tin lớp học'!$H$10:$H$49=D$4)*('Thông tin lớp học'!$I$10:$I$49&lt;=$A5+0.000001)*('Thông tin lớp học'!$J$10:$J$49&gt;$A5+0.000001)*(ROW('Thông tin lớp học'!$H$10:$H$49)-9)))&amp;")"))</f>
        <v/>
      </c>
      <c r="E5" s="123" t="str">
        <f t="array" ref="E5">IF(SUMPRODUCT(('Thông tin lớp học'!$H$10:$H$49=E$4)*('Thông tin lớp học'!$I$10:$I$49&lt;=$A5+0.000001)*('Thông tin lớp học'!$J$10:$J$49&gt;$A5+0.000001))=0,"",IF(SUMPRODUCT(('Thông tin lớp học'!$H$10:$H$49=E$4)*('Thông tin lớp học'!$I$10:$I$49&lt;=$A5+0.000001)*('Thông tin lớp học'!$J$10:$J$49&gt;$A5+0.000001))&gt;1,"⚠ Trùng lịch",INDEX('Thông tin lớp học'!$G$10:$G$49,SUMPRODUCT(('Thông tin lớp học'!$H$10:$H$49=E$4)*('Thông tin lớp học'!$I$10:$I$49&lt;=$A5+0.000001)*('Thông tin lớp học'!$J$10:$J$49&gt;$A5+0.000001)*(ROW('Thông tin lớp học'!$H$10:$H$49)-9)))&amp;" ("&amp;INDEX('Thông tin lớp học'!$K$10:$K$49,SUMPRODUCT(('Thông tin lớp học'!$H$10:$H$49=E$4)*('Thông tin lớp học'!$I$10:$I$49&lt;=$A5+0.000001)*('Thông tin lớp học'!$J$10:$J$49&gt;$A5+0.000001)*(ROW('Thông tin lớp học'!$H$10:$H$49)-9)))&amp;")"))</f>
        <v/>
      </c>
      <c r="F5" s="123" t="str">
        <f t="array" ref="F5">IF(SUMPRODUCT(('Thông tin lớp học'!$H$10:$H$49=F$4)*('Thông tin lớp học'!$I$10:$I$49&lt;=$A5+0.000001)*('Thông tin lớp học'!$J$10:$J$49&gt;$A5+0.000001))=0,"",IF(SUMPRODUCT(('Thông tin lớp học'!$H$10:$H$49=F$4)*('Thông tin lớp học'!$I$10:$I$49&lt;=$A5+0.000001)*('Thông tin lớp học'!$J$10:$J$49&gt;$A5+0.000001))&gt;1,"⚠ Trùng lịch",INDEX('Thông tin lớp học'!$G$10:$G$49,SUMPRODUCT(('Thông tin lớp học'!$H$10:$H$49=F$4)*('Thông tin lớp học'!$I$10:$I$49&lt;=$A5+0.000001)*('Thông tin lớp học'!$J$10:$J$49&gt;$A5+0.000001)*(ROW('Thông tin lớp học'!$H$10:$H$49)-9)))&amp;" ("&amp;INDEX('Thông tin lớp học'!$K$10:$K$49,SUMPRODUCT(('Thông tin lớp học'!$H$10:$H$49=F$4)*('Thông tin lớp học'!$I$10:$I$49&lt;=$A5+0.000001)*('Thông tin lớp học'!$J$10:$J$49&gt;$A5+0.000001)*(ROW('Thông tin lớp học'!$H$10:$H$49)-9)))&amp;")"))</f>
        <v/>
      </c>
      <c r="G5" s="123" t="str">
        <f t="array" ref="G5">IF(SUMPRODUCT(('Thông tin lớp học'!$H$10:$H$49=G$4)*('Thông tin lớp học'!$I$10:$I$49&lt;=$A5+0.000001)*('Thông tin lớp học'!$J$10:$J$49&gt;$A5+0.000001))=0,"",IF(SUMPRODUCT(('Thông tin lớp học'!$H$10:$H$49=G$4)*('Thông tin lớp học'!$I$10:$I$49&lt;=$A5+0.000001)*('Thông tin lớp học'!$J$10:$J$49&gt;$A5+0.000001))&gt;1,"⚠ Trùng lịch",INDEX('Thông tin lớp học'!$G$10:$G$49,SUMPRODUCT(('Thông tin lớp học'!$H$10:$H$49=G$4)*('Thông tin lớp học'!$I$10:$I$49&lt;=$A5+0.000001)*('Thông tin lớp học'!$J$10:$J$49&gt;$A5+0.000001)*(ROW('Thông tin lớp học'!$H$10:$H$49)-9)))&amp;" ("&amp;INDEX('Thông tin lớp học'!$K$10:$K$49,SUMPRODUCT(('Thông tin lớp học'!$H$10:$H$49=G$4)*('Thông tin lớp học'!$I$10:$I$49&lt;=$A5+0.000001)*('Thông tin lớp học'!$J$10:$J$49&gt;$A5+0.000001)*(ROW('Thông tin lớp học'!$H$10:$H$49)-9)))&amp;")"))</f>
        <v/>
      </c>
      <c r="H5" s="123" t="str">
        <f t="array" ref="H5">IF(SUMPRODUCT(('Thông tin lớp học'!$H$10:$H$49=H$4)*('Thông tin lớp học'!$I$10:$I$49&lt;=$A5+0.000001)*('Thông tin lớp học'!$J$10:$J$49&gt;$A5+0.000001))=0,"",IF(SUMPRODUCT(('Thông tin lớp học'!$H$10:$H$49=H$4)*('Thông tin lớp học'!$I$10:$I$49&lt;=$A5+0.000001)*('Thông tin lớp học'!$J$10:$J$49&gt;$A5+0.000001))&gt;1,"⚠ Trùng lịch",INDEX('Thông tin lớp học'!$G$10:$G$49,SUMPRODUCT(('Thông tin lớp học'!$H$10:$H$49=H$4)*('Thông tin lớp học'!$I$10:$I$49&lt;=$A5+0.000001)*('Thông tin lớp học'!$J$10:$J$49&gt;$A5+0.000001)*(ROW('Thông tin lớp học'!$H$10:$H$49)-9)))&amp;" ("&amp;INDEX('Thông tin lớp học'!$K$10:$K$49,SUMPRODUCT(('Thông tin lớp học'!$H$10:$H$49=H$4)*('Thông tin lớp học'!$I$10:$I$49&lt;=$A5+0.000001)*('Thông tin lớp học'!$J$10:$J$49&gt;$A5+0.000001)*(ROW('Thông tin lớp học'!$H$10:$H$49)-9)))&amp;")"))</f>
        <v/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6">
        <v>0.270833333333333</v>
      </c>
      <c r="B6" s="123" t="str">
        <f t="array" ref="B6">IF(SUMPRODUCT(('Thông tin lớp học'!$H$10:$H$49=B$4)*('Thông tin lớp học'!$I$10:$I$49&lt;=$A6+0.000001)*('Thông tin lớp học'!$J$10:$J$49&gt;$A6+0.000001))=0,"",IF(SUMPRODUCT(('Thông tin lớp học'!$H$10:$H$49=B$4)*('Thông tin lớp học'!$I$10:$I$49&lt;=$A6+0.000001)*('Thông tin lớp học'!$J$10:$J$49&gt;$A6+0.000001))&gt;1,"⚠ Trùng lịch",INDEX('Thông tin lớp học'!$G$10:$G$49,SUMPRODUCT(('Thông tin lớp học'!$H$10:$H$49=B$4)*('Thông tin lớp học'!$I$10:$I$49&lt;=$A6+0.000001)*('Thông tin lớp học'!$J$10:$J$49&gt;$A6+0.000001)*(ROW('Thông tin lớp học'!$H$10:$H$49)-9)))&amp;" ("&amp;INDEX('Thông tin lớp học'!$K$10:$K$49,SUMPRODUCT(('Thông tin lớp học'!$H$10:$H$49=B$4)*('Thông tin lớp học'!$I$10:$I$49&lt;=$A6+0.000001)*('Thông tin lớp học'!$J$10:$J$49&gt;$A6+0.000001)*(ROW('Thông tin lớp học'!$H$10:$H$49)-9)))&amp;")"))</f>
        <v/>
      </c>
      <c r="C6" s="123" t="str">
        <f t="array" ref="C6">IF(SUMPRODUCT(('Thông tin lớp học'!$H$10:$H$49=C$4)*('Thông tin lớp học'!$I$10:$I$49&lt;=$A6+0.000001)*('Thông tin lớp học'!$J$10:$J$49&gt;$A6+0.000001))=0,"",IF(SUMPRODUCT(('Thông tin lớp học'!$H$10:$H$49=C$4)*('Thông tin lớp học'!$I$10:$I$49&lt;=$A6+0.000001)*('Thông tin lớp học'!$J$10:$J$49&gt;$A6+0.000001))&gt;1,"⚠ Trùng lịch",INDEX('Thông tin lớp học'!$G$10:$G$49,SUMPRODUCT(('Thông tin lớp học'!$H$10:$H$49=C$4)*('Thông tin lớp học'!$I$10:$I$49&lt;=$A6+0.000001)*('Thông tin lớp học'!$J$10:$J$49&gt;$A6+0.000001)*(ROW('Thông tin lớp học'!$H$10:$H$49)-9)))&amp;" ("&amp;INDEX('Thông tin lớp học'!$K$10:$K$49,SUMPRODUCT(('Thông tin lớp học'!$H$10:$H$49=C$4)*('Thông tin lớp học'!$I$10:$I$49&lt;=$A6+0.000001)*('Thông tin lớp học'!$J$10:$J$49&gt;$A6+0.000001)*(ROW('Thông tin lớp học'!$H$10:$H$49)-9)))&amp;")"))</f>
        <v/>
      </c>
      <c r="D6" s="123" t="str">
        <f t="array" ref="D6">IF(SUMPRODUCT(('Thông tin lớp học'!$H$10:$H$49=D$4)*('Thông tin lớp học'!$I$10:$I$49&lt;=$A6+0.000001)*('Thông tin lớp học'!$J$10:$J$49&gt;$A6+0.000001))=0,"",IF(SUMPRODUCT(('Thông tin lớp học'!$H$10:$H$49=D$4)*('Thông tin lớp học'!$I$10:$I$49&lt;=$A6+0.000001)*('Thông tin lớp học'!$J$10:$J$49&gt;$A6+0.000001))&gt;1,"⚠ Trùng lịch",INDEX('Thông tin lớp học'!$G$10:$G$49,SUMPRODUCT(('Thông tin lớp học'!$H$10:$H$49=D$4)*('Thông tin lớp học'!$I$10:$I$49&lt;=$A6+0.000001)*('Thông tin lớp học'!$J$10:$J$49&gt;$A6+0.000001)*(ROW('Thông tin lớp học'!$H$10:$H$49)-9)))&amp;" ("&amp;INDEX('Thông tin lớp học'!$K$10:$K$49,SUMPRODUCT(('Thông tin lớp học'!$H$10:$H$49=D$4)*('Thông tin lớp học'!$I$10:$I$49&lt;=$A6+0.000001)*('Thông tin lớp học'!$J$10:$J$49&gt;$A6+0.000001)*(ROW('Thông tin lớp học'!$H$10:$H$49)-9)))&amp;")"))</f>
        <v/>
      </c>
      <c r="E6" s="123" t="str">
        <f t="array" ref="E6">IF(SUMPRODUCT(('Thông tin lớp học'!$H$10:$H$49=E$4)*('Thông tin lớp học'!$I$10:$I$49&lt;=$A6+0.000001)*('Thông tin lớp học'!$J$10:$J$49&gt;$A6+0.000001))=0,"",IF(SUMPRODUCT(('Thông tin lớp học'!$H$10:$H$49=E$4)*('Thông tin lớp học'!$I$10:$I$49&lt;=$A6+0.000001)*('Thông tin lớp học'!$J$10:$J$49&gt;$A6+0.000001))&gt;1,"⚠ Trùng lịch",INDEX('Thông tin lớp học'!$G$10:$G$49,SUMPRODUCT(('Thông tin lớp học'!$H$10:$H$49=E$4)*('Thông tin lớp học'!$I$10:$I$49&lt;=$A6+0.000001)*('Thông tin lớp học'!$J$10:$J$49&gt;$A6+0.000001)*(ROW('Thông tin lớp học'!$H$10:$H$49)-9)))&amp;" ("&amp;INDEX('Thông tin lớp học'!$K$10:$K$49,SUMPRODUCT(('Thông tin lớp học'!$H$10:$H$49=E$4)*('Thông tin lớp học'!$I$10:$I$49&lt;=$A6+0.000001)*('Thông tin lớp học'!$J$10:$J$49&gt;$A6+0.000001)*(ROW('Thông tin lớp học'!$H$10:$H$49)-9)))&amp;")"))</f>
        <v/>
      </c>
      <c r="F6" s="123" t="str">
        <f t="array" ref="F6">IF(SUMPRODUCT(('Thông tin lớp học'!$H$10:$H$49=F$4)*('Thông tin lớp học'!$I$10:$I$49&lt;=$A6+0.000001)*('Thông tin lớp học'!$J$10:$J$49&gt;$A6+0.000001))=0,"",IF(SUMPRODUCT(('Thông tin lớp học'!$H$10:$H$49=F$4)*('Thông tin lớp học'!$I$10:$I$49&lt;=$A6+0.000001)*('Thông tin lớp học'!$J$10:$J$49&gt;$A6+0.000001))&gt;1,"⚠ Trùng lịch",INDEX('Thông tin lớp học'!$G$10:$G$49,SUMPRODUCT(('Thông tin lớp học'!$H$10:$H$49=F$4)*('Thông tin lớp học'!$I$10:$I$49&lt;=$A6+0.000001)*('Thông tin lớp học'!$J$10:$J$49&gt;$A6+0.000001)*(ROW('Thông tin lớp học'!$H$10:$H$49)-9)))&amp;" ("&amp;INDEX('Thông tin lớp học'!$K$10:$K$49,SUMPRODUCT(('Thông tin lớp học'!$H$10:$H$49=F$4)*('Thông tin lớp học'!$I$10:$I$49&lt;=$A6+0.000001)*('Thông tin lớp học'!$J$10:$J$49&gt;$A6+0.000001)*(ROW('Thông tin lớp học'!$H$10:$H$49)-9)))&amp;")"))</f>
        <v/>
      </c>
      <c r="G6" s="123" t="str">
        <f t="array" ref="G6">IF(SUMPRODUCT(('Thông tin lớp học'!$H$10:$H$49=G$4)*('Thông tin lớp học'!$I$10:$I$49&lt;=$A6+0.000001)*('Thông tin lớp học'!$J$10:$J$49&gt;$A6+0.000001))=0,"",IF(SUMPRODUCT(('Thông tin lớp học'!$H$10:$H$49=G$4)*('Thông tin lớp học'!$I$10:$I$49&lt;=$A6+0.000001)*('Thông tin lớp học'!$J$10:$J$49&gt;$A6+0.000001))&gt;1,"⚠ Trùng lịch",INDEX('Thông tin lớp học'!$G$10:$G$49,SUMPRODUCT(('Thông tin lớp học'!$H$10:$H$49=G$4)*('Thông tin lớp học'!$I$10:$I$49&lt;=$A6+0.000001)*('Thông tin lớp học'!$J$10:$J$49&gt;$A6+0.000001)*(ROW('Thông tin lớp học'!$H$10:$H$49)-9)))&amp;" ("&amp;INDEX('Thông tin lớp học'!$K$10:$K$49,SUMPRODUCT(('Thông tin lớp học'!$H$10:$H$49=G$4)*('Thông tin lớp học'!$I$10:$I$49&lt;=$A6+0.000001)*('Thông tin lớp học'!$J$10:$J$49&gt;$A6+0.000001)*(ROW('Thông tin lớp học'!$H$10:$H$49)-9)))&amp;")"))</f>
        <v/>
      </c>
      <c r="H6" s="123" t="str">
        <f t="array" ref="H6">IF(SUMPRODUCT(('Thông tin lớp học'!$H$10:$H$49=H$4)*('Thông tin lớp học'!$I$10:$I$49&lt;=$A6+0.000001)*('Thông tin lớp học'!$J$10:$J$49&gt;$A6+0.000001))=0,"",IF(SUMPRODUCT(('Thông tin lớp học'!$H$10:$H$49=H$4)*('Thông tin lớp học'!$I$10:$I$49&lt;=$A6+0.000001)*('Thông tin lớp học'!$J$10:$J$49&gt;$A6+0.000001))&gt;1,"⚠ Trùng lịch",INDEX('Thông tin lớp học'!$G$10:$G$49,SUMPRODUCT(('Thông tin lớp học'!$H$10:$H$49=H$4)*('Thông tin lớp học'!$I$10:$I$49&lt;=$A6+0.000001)*('Thông tin lớp học'!$J$10:$J$49&gt;$A6+0.000001)*(ROW('Thông tin lớp học'!$H$10:$H$49)-9)))&amp;" ("&amp;INDEX('Thông tin lớp học'!$K$10:$K$49,SUMPRODUCT(('Thông tin lớp học'!$H$10:$H$49=H$4)*('Thông tin lớp học'!$I$10:$I$49&lt;=$A6+0.000001)*('Thông tin lớp học'!$J$10:$J$49&gt;$A6+0.000001)*(ROW('Thông tin lớp học'!$H$10:$H$49)-9)))&amp;")"))</f>
        <v/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6">
        <v>0.291666666666667</v>
      </c>
      <c r="B7" s="123" t="str">
        <f t="array" ref="B7">IF(SUMPRODUCT(('Thông tin lớp học'!$H$10:$H$49=B$4)*('Thông tin lớp học'!$I$10:$I$49&lt;=$A7+0.000001)*('Thông tin lớp học'!$J$10:$J$49&gt;$A7+0.000001))=0,"",IF(SUMPRODUCT(('Thông tin lớp học'!$H$10:$H$49=B$4)*('Thông tin lớp học'!$I$10:$I$49&lt;=$A7+0.000001)*('Thông tin lớp học'!$J$10:$J$49&gt;$A7+0.000001))&gt;1,"⚠ Trùng lịch",INDEX('Thông tin lớp học'!$G$10:$G$49,SUMPRODUCT(('Thông tin lớp học'!$H$10:$H$49=B$4)*('Thông tin lớp học'!$I$10:$I$49&lt;=$A7+0.000001)*('Thông tin lớp học'!$J$10:$J$49&gt;$A7+0.000001)*(ROW('Thông tin lớp học'!$H$10:$H$49)-9)))&amp;" ("&amp;INDEX('Thông tin lớp học'!$K$10:$K$49,SUMPRODUCT(('Thông tin lớp học'!$H$10:$H$49=B$4)*('Thông tin lớp học'!$I$10:$I$49&lt;=$A7+0.000001)*('Thông tin lớp học'!$J$10:$J$49&gt;$A7+0.000001)*(ROW('Thông tin lớp học'!$H$10:$H$49)-9)))&amp;")"))</f>
        <v/>
      </c>
      <c r="C7" s="123" t="str">
        <f t="array" ref="C7">IF(SUMPRODUCT(('Thông tin lớp học'!$H$10:$H$49=C$4)*('Thông tin lớp học'!$I$10:$I$49&lt;=$A7+0.000001)*('Thông tin lớp học'!$J$10:$J$49&gt;$A7+0.000001))=0,"",IF(SUMPRODUCT(('Thông tin lớp học'!$H$10:$H$49=C$4)*('Thông tin lớp học'!$I$10:$I$49&lt;=$A7+0.000001)*('Thông tin lớp học'!$J$10:$J$49&gt;$A7+0.000001))&gt;1,"⚠ Trùng lịch",INDEX('Thông tin lớp học'!$G$10:$G$49,SUMPRODUCT(('Thông tin lớp học'!$H$10:$H$49=C$4)*('Thông tin lớp học'!$I$10:$I$49&lt;=$A7+0.000001)*('Thông tin lớp học'!$J$10:$J$49&gt;$A7+0.000001)*(ROW('Thông tin lớp học'!$H$10:$H$49)-9)))&amp;" ("&amp;INDEX('Thông tin lớp học'!$K$10:$K$49,SUMPRODUCT(('Thông tin lớp học'!$H$10:$H$49=C$4)*('Thông tin lớp học'!$I$10:$I$49&lt;=$A7+0.000001)*('Thông tin lớp học'!$J$10:$J$49&gt;$A7+0.000001)*(ROW('Thông tin lớp học'!$H$10:$H$49)-9)))&amp;")"))</f>
        <v/>
      </c>
      <c r="D7" s="123" t="str">
        <f t="array" ref="D7">IF(SUMPRODUCT(('Thông tin lớp học'!$H$10:$H$49=D$4)*('Thông tin lớp học'!$I$10:$I$49&lt;=$A7+0.000001)*('Thông tin lớp học'!$J$10:$J$49&gt;$A7+0.000001))=0,"",IF(SUMPRODUCT(('Thông tin lớp học'!$H$10:$H$49=D$4)*('Thông tin lớp học'!$I$10:$I$49&lt;=$A7+0.000001)*('Thông tin lớp học'!$J$10:$J$49&gt;$A7+0.000001))&gt;1,"⚠ Trùng lịch",INDEX('Thông tin lớp học'!$G$10:$G$49,SUMPRODUCT(('Thông tin lớp học'!$H$10:$H$49=D$4)*('Thông tin lớp học'!$I$10:$I$49&lt;=$A7+0.000001)*('Thông tin lớp học'!$J$10:$J$49&gt;$A7+0.000001)*(ROW('Thông tin lớp học'!$H$10:$H$49)-9)))&amp;" ("&amp;INDEX('Thông tin lớp học'!$K$10:$K$49,SUMPRODUCT(('Thông tin lớp học'!$H$10:$H$49=D$4)*('Thông tin lớp học'!$I$10:$I$49&lt;=$A7+0.000001)*('Thông tin lớp học'!$J$10:$J$49&gt;$A7+0.000001)*(ROW('Thông tin lớp học'!$H$10:$H$49)-9)))&amp;")"))</f>
        <v/>
      </c>
      <c r="E7" s="123" t="str">
        <f t="array" ref="E7">IF(SUMPRODUCT(('Thông tin lớp học'!$H$10:$H$49=E$4)*('Thông tin lớp học'!$I$10:$I$49&lt;=$A7+0.000001)*('Thông tin lớp học'!$J$10:$J$49&gt;$A7+0.000001))=0,"",IF(SUMPRODUCT(('Thông tin lớp học'!$H$10:$H$49=E$4)*('Thông tin lớp học'!$I$10:$I$49&lt;=$A7+0.000001)*('Thông tin lớp học'!$J$10:$J$49&gt;$A7+0.000001))&gt;1,"⚠ Trùng lịch",INDEX('Thông tin lớp học'!$G$10:$G$49,SUMPRODUCT(('Thông tin lớp học'!$H$10:$H$49=E$4)*('Thông tin lớp học'!$I$10:$I$49&lt;=$A7+0.000001)*('Thông tin lớp học'!$J$10:$J$49&gt;$A7+0.000001)*(ROW('Thông tin lớp học'!$H$10:$H$49)-9)))&amp;" ("&amp;INDEX('Thông tin lớp học'!$K$10:$K$49,SUMPRODUCT(('Thông tin lớp học'!$H$10:$H$49=E$4)*('Thông tin lớp học'!$I$10:$I$49&lt;=$A7+0.000001)*('Thông tin lớp học'!$J$10:$J$49&gt;$A7+0.000001)*(ROW('Thông tin lớp học'!$H$10:$H$49)-9)))&amp;")"))</f>
        <v/>
      </c>
      <c r="F7" s="123" t="str">
        <f t="array" ref="F7">IF(SUMPRODUCT(('Thông tin lớp học'!$H$10:$H$49=F$4)*('Thông tin lớp học'!$I$10:$I$49&lt;=$A7+0.000001)*('Thông tin lớp học'!$J$10:$J$49&gt;$A7+0.000001))=0,"",IF(SUMPRODUCT(('Thông tin lớp học'!$H$10:$H$49=F$4)*('Thông tin lớp học'!$I$10:$I$49&lt;=$A7+0.000001)*('Thông tin lớp học'!$J$10:$J$49&gt;$A7+0.000001))&gt;1,"⚠ Trùng lịch",INDEX('Thông tin lớp học'!$G$10:$G$49,SUMPRODUCT(('Thông tin lớp học'!$H$10:$H$49=F$4)*('Thông tin lớp học'!$I$10:$I$49&lt;=$A7+0.000001)*('Thông tin lớp học'!$J$10:$J$49&gt;$A7+0.000001)*(ROW('Thông tin lớp học'!$H$10:$H$49)-9)))&amp;" ("&amp;INDEX('Thông tin lớp học'!$K$10:$K$49,SUMPRODUCT(('Thông tin lớp học'!$H$10:$H$49=F$4)*('Thông tin lớp học'!$I$10:$I$49&lt;=$A7+0.000001)*('Thông tin lớp học'!$J$10:$J$49&gt;$A7+0.000001)*(ROW('Thông tin lớp học'!$H$10:$H$49)-9)))&amp;")"))</f>
        <v/>
      </c>
      <c r="G7" s="123" t="str">
        <f t="array" ref="G7">IF(SUMPRODUCT(('Thông tin lớp học'!$H$10:$H$49=G$4)*('Thông tin lớp học'!$I$10:$I$49&lt;=$A7+0.000001)*('Thông tin lớp học'!$J$10:$J$49&gt;$A7+0.000001))=0,"",IF(SUMPRODUCT(('Thông tin lớp học'!$H$10:$H$49=G$4)*('Thông tin lớp học'!$I$10:$I$49&lt;=$A7+0.000001)*('Thông tin lớp học'!$J$10:$J$49&gt;$A7+0.000001))&gt;1,"⚠ Trùng lịch",INDEX('Thông tin lớp học'!$G$10:$G$49,SUMPRODUCT(('Thông tin lớp học'!$H$10:$H$49=G$4)*('Thông tin lớp học'!$I$10:$I$49&lt;=$A7+0.000001)*('Thông tin lớp học'!$J$10:$J$49&gt;$A7+0.000001)*(ROW('Thông tin lớp học'!$H$10:$H$49)-9)))&amp;" ("&amp;INDEX('Thông tin lớp học'!$K$10:$K$49,SUMPRODUCT(('Thông tin lớp học'!$H$10:$H$49=G$4)*('Thông tin lớp học'!$I$10:$I$49&lt;=$A7+0.000001)*('Thông tin lớp học'!$J$10:$J$49&gt;$A7+0.000001)*(ROW('Thông tin lớp học'!$H$10:$H$49)-9)))&amp;")"))</f>
        <v/>
      </c>
      <c r="H7" s="123" t="str">
        <f t="array" ref="H7">IF(SUMPRODUCT(('Thông tin lớp học'!$H$10:$H$49=H$4)*('Thông tin lớp học'!$I$10:$I$49&lt;=$A7+0.000001)*('Thông tin lớp học'!$J$10:$J$49&gt;$A7+0.000001))=0,"",IF(SUMPRODUCT(('Thông tin lớp học'!$H$10:$H$49=H$4)*('Thông tin lớp học'!$I$10:$I$49&lt;=$A7+0.000001)*('Thông tin lớp học'!$J$10:$J$49&gt;$A7+0.000001))&gt;1,"⚠ Trùng lịch",INDEX('Thông tin lớp học'!$G$10:$G$49,SUMPRODUCT(('Thông tin lớp học'!$H$10:$H$49=H$4)*('Thông tin lớp học'!$I$10:$I$49&lt;=$A7+0.000001)*('Thông tin lớp học'!$J$10:$J$49&gt;$A7+0.000001)*(ROW('Thông tin lớp học'!$H$10:$H$49)-9)))&amp;" ("&amp;INDEX('Thông tin lớp học'!$K$10:$K$49,SUMPRODUCT(('Thông tin lớp học'!$H$10:$H$49=H$4)*('Thông tin lớp học'!$I$10:$I$49&lt;=$A7+0.000001)*('Thông tin lớp học'!$J$10:$J$49&gt;$A7+0.000001)*(ROW('Thông tin lớp học'!$H$10:$H$49)-9)))&amp;")"))</f>
        <v/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6">
        <v>0.3125</v>
      </c>
      <c r="B8" s="123" t="str">
        <f t="array" ref="B8">IF(SUMPRODUCT(('Thông tin lớp học'!$H$10:$H$49=B$4)*('Thông tin lớp học'!$I$10:$I$49&lt;=$A8+0.000001)*('Thông tin lớp học'!$J$10:$J$49&gt;$A8+0.000001))=0,"",IF(SUMPRODUCT(('Thông tin lớp học'!$H$10:$H$49=B$4)*('Thông tin lớp học'!$I$10:$I$49&lt;=$A8+0.000001)*('Thông tin lớp học'!$J$10:$J$49&gt;$A8+0.000001))&gt;1,"⚠ Trùng lịch",INDEX('Thông tin lớp học'!$G$10:$G$49,SUMPRODUCT(('Thông tin lớp học'!$H$10:$H$49=B$4)*('Thông tin lớp học'!$I$10:$I$49&lt;=$A8+0.000001)*('Thông tin lớp học'!$J$10:$J$49&gt;$A8+0.000001)*(ROW('Thông tin lớp học'!$H$10:$H$49)-9)))&amp;" ("&amp;INDEX('Thông tin lớp học'!$K$10:$K$49,SUMPRODUCT(('Thông tin lớp học'!$H$10:$H$49=B$4)*('Thông tin lớp học'!$I$10:$I$49&lt;=$A8+0.000001)*('Thông tin lớp học'!$J$10:$J$49&gt;$A8+0.000001)*(ROW('Thông tin lớp học'!$H$10:$H$49)-9)))&amp;")"))</f>
        <v>Toán cao cấp (A101)</v>
      </c>
      <c r="C8" s="123" t="str">
        <f t="array" ref="C8">IF(SUMPRODUCT(('Thông tin lớp học'!$H$10:$H$49=C$4)*('Thông tin lớp học'!$I$10:$I$49&lt;=$A8+0.000001)*('Thông tin lớp học'!$J$10:$J$49&gt;$A8+0.000001))=0,"",IF(SUMPRODUCT(('Thông tin lớp học'!$H$10:$H$49=C$4)*('Thông tin lớp học'!$I$10:$I$49&lt;=$A8+0.000001)*('Thông tin lớp học'!$J$10:$J$49&gt;$A8+0.000001))&gt;1,"⚠ Trùng lịch",INDEX('Thông tin lớp học'!$G$10:$G$49,SUMPRODUCT(('Thông tin lớp học'!$H$10:$H$49=C$4)*('Thông tin lớp học'!$I$10:$I$49&lt;=$A8+0.000001)*('Thông tin lớp học'!$J$10:$J$49&gt;$A8+0.000001)*(ROW('Thông tin lớp học'!$H$10:$H$49)-9)))&amp;" ("&amp;INDEX('Thông tin lớp học'!$K$10:$K$49,SUMPRODUCT(('Thông tin lớp học'!$H$10:$H$49=C$4)*('Thông tin lớp học'!$I$10:$I$49&lt;=$A8+0.000001)*('Thông tin lớp học'!$J$10:$J$49&gt;$A8+0.000001)*(ROW('Thông tin lớp học'!$H$10:$H$49)-9)))&amp;")"))</f>
        <v>Lập trình C++ (Lab 2)</v>
      </c>
      <c r="D8" s="123" t="str">
        <f t="array" ref="D8">IF(SUMPRODUCT(('Thông tin lớp học'!$H$10:$H$49=D$4)*('Thông tin lớp học'!$I$10:$I$49&lt;=$A8+0.000001)*('Thông tin lớp học'!$J$10:$J$49&gt;$A8+0.000001))=0,"",IF(SUMPRODUCT(('Thông tin lớp học'!$H$10:$H$49=D$4)*('Thông tin lớp học'!$I$10:$I$49&lt;=$A8+0.000001)*('Thông tin lớp học'!$J$10:$J$49&gt;$A8+0.000001))&gt;1,"⚠ Trùng lịch",INDEX('Thông tin lớp học'!$G$10:$G$49,SUMPRODUCT(('Thông tin lớp học'!$H$10:$H$49=D$4)*('Thông tin lớp học'!$I$10:$I$49&lt;=$A8+0.000001)*('Thông tin lớp học'!$J$10:$J$49&gt;$A8+0.000001)*(ROW('Thông tin lớp học'!$H$10:$H$49)-9)))&amp;" ("&amp;INDEX('Thông tin lớp học'!$K$10:$K$49,SUMPRODUCT(('Thông tin lớp học'!$H$10:$H$49=D$4)*('Thông tin lớp học'!$I$10:$I$49&lt;=$A8+0.000001)*('Thông tin lớp học'!$J$10:$J$49&gt;$A8+0.000001)*(ROW('Thông tin lớp học'!$H$10:$H$49)-9)))&amp;")"))</f>
        <v/>
      </c>
      <c r="E8" s="123" t="str">
        <f t="array" ref="E8">IF(SUMPRODUCT(('Thông tin lớp học'!$H$10:$H$49=E$4)*('Thông tin lớp học'!$I$10:$I$49&lt;=$A8+0.000001)*('Thông tin lớp học'!$J$10:$J$49&gt;$A8+0.000001))=0,"",IF(SUMPRODUCT(('Thông tin lớp học'!$H$10:$H$49=E$4)*('Thông tin lớp học'!$I$10:$I$49&lt;=$A8+0.000001)*('Thông tin lớp học'!$J$10:$J$49&gt;$A8+0.000001))&gt;1,"⚠ Trùng lịch",INDEX('Thông tin lớp học'!$G$10:$G$49,SUMPRODUCT(('Thông tin lớp học'!$H$10:$H$49=E$4)*('Thông tin lớp học'!$I$10:$I$49&lt;=$A8+0.000001)*('Thông tin lớp học'!$J$10:$J$49&gt;$A8+0.000001)*(ROW('Thông tin lớp học'!$H$10:$H$49)-9)))&amp;" ("&amp;INDEX('Thông tin lớp học'!$K$10:$K$49,SUMPRODUCT(('Thông tin lớp học'!$H$10:$H$49=E$4)*('Thông tin lớp học'!$I$10:$I$49&lt;=$A8+0.000001)*('Thông tin lớp học'!$J$10:$J$49&gt;$A8+0.000001)*(ROW('Thông tin lớp học'!$H$10:$H$49)-9)))&amp;")"))</f>
        <v/>
      </c>
      <c r="F8" s="123" t="str">
        <f t="array" ref="F8">IF(SUMPRODUCT(('Thông tin lớp học'!$H$10:$H$49=F$4)*('Thông tin lớp học'!$I$10:$I$49&lt;=$A8+0.000001)*('Thông tin lớp học'!$J$10:$J$49&gt;$A8+0.000001))=0,"",IF(SUMPRODUCT(('Thông tin lớp học'!$H$10:$H$49=F$4)*('Thông tin lớp học'!$I$10:$I$49&lt;=$A8+0.000001)*('Thông tin lớp học'!$J$10:$J$49&gt;$A8+0.000001))&gt;1,"⚠ Trùng lịch",INDEX('Thông tin lớp học'!$G$10:$G$49,SUMPRODUCT(('Thông tin lớp học'!$H$10:$H$49=F$4)*('Thông tin lớp học'!$I$10:$I$49&lt;=$A8+0.000001)*('Thông tin lớp học'!$J$10:$J$49&gt;$A8+0.000001)*(ROW('Thông tin lớp học'!$H$10:$H$49)-9)))&amp;" ("&amp;INDEX('Thông tin lớp học'!$K$10:$K$49,SUMPRODUCT(('Thông tin lớp học'!$H$10:$H$49=F$4)*('Thông tin lớp học'!$I$10:$I$49&lt;=$A8+0.000001)*('Thông tin lớp học'!$J$10:$J$49&gt;$A8+0.000001)*(ROW('Thông tin lớp học'!$H$10:$H$49)-9)))&amp;")"))</f>
        <v/>
      </c>
      <c r="G8" s="123" t="str">
        <f t="array" ref="G8">IF(SUMPRODUCT(('Thông tin lớp học'!$H$10:$H$49=G$4)*('Thông tin lớp học'!$I$10:$I$49&lt;=$A8+0.000001)*('Thông tin lớp học'!$J$10:$J$49&gt;$A8+0.000001))=0,"",IF(SUMPRODUCT(('Thông tin lớp học'!$H$10:$H$49=G$4)*('Thông tin lớp học'!$I$10:$I$49&lt;=$A8+0.000001)*('Thông tin lớp học'!$J$10:$J$49&gt;$A8+0.000001))&gt;1,"⚠ Trùng lịch",INDEX('Thông tin lớp học'!$G$10:$G$49,SUMPRODUCT(('Thông tin lớp học'!$H$10:$H$49=G$4)*('Thông tin lớp học'!$I$10:$I$49&lt;=$A8+0.000001)*('Thông tin lớp học'!$J$10:$J$49&gt;$A8+0.000001)*(ROW('Thông tin lớp học'!$H$10:$H$49)-9)))&amp;" ("&amp;INDEX('Thông tin lớp học'!$K$10:$K$49,SUMPRODUCT(('Thông tin lớp học'!$H$10:$H$49=G$4)*('Thông tin lớp học'!$I$10:$I$49&lt;=$A8+0.000001)*('Thông tin lớp học'!$J$10:$J$49&gt;$A8+0.000001)*(ROW('Thông tin lớp học'!$H$10:$H$49)-9)))&amp;")"))</f>
        <v/>
      </c>
      <c r="H8" s="123" t="str">
        <f t="array" ref="H8">IF(SUMPRODUCT(('Thông tin lớp học'!$H$10:$H$49=H$4)*('Thông tin lớp học'!$I$10:$I$49&lt;=$A8+0.000001)*('Thông tin lớp học'!$J$10:$J$49&gt;$A8+0.000001))=0,"",IF(SUMPRODUCT(('Thông tin lớp học'!$H$10:$H$49=H$4)*('Thông tin lớp học'!$I$10:$I$49&lt;=$A8+0.000001)*('Thông tin lớp học'!$J$10:$J$49&gt;$A8+0.000001))&gt;1,"⚠ Trùng lịch",INDEX('Thông tin lớp học'!$G$10:$G$49,SUMPRODUCT(('Thông tin lớp học'!$H$10:$H$49=H$4)*('Thông tin lớp học'!$I$10:$I$49&lt;=$A8+0.000001)*('Thông tin lớp học'!$J$10:$J$49&gt;$A8+0.000001)*(ROW('Thông tin lớp học'!$H$10:$H$49)-9)))&amp;" ("&amp;INDEX('Thông tin lớp học'!$K$10:$K$49,SUMPRODUCT(('Thông tin lớp học'!$H$10:$H$49=H$4)*('Thông tin lớp học'!$I$10:$I$49&lt;=$A8+0.000001)*('Thông tin lớp học'!$J$10:$J$49&gt;$A8+0.000001)*(ROW('Thông tin lớp học'!$H$10:$H$49)-9)))&amp;")"))</f>
        <v/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6">
        <v>0.333333333333333</v>
      </c>
      <c r="B9" s="123" t="str">
        <f t="array" ref="B9">IF(SUMPRODUCT(('Thông tin lớp học'!$H$10:$H$49=B$4)*('Thông tin lớp học'!$I$10:$I$49&lt;=$A9+0.000001)*('Thông tin lớp học'!$J$10:$J$49&gt;$A9+0.000001))=0,"",IF(SUMPRODUCT(('Thông tin lớp học'!$H$10:$H$49=B$4)*('Thông tin lớp học'!$I$10:$I$49&lt;=$A9+0.000001)*('Thông tin lớp học'!$J$10:$J$49&gt;$A9+0.000001))&gt;1,"⚠ Trùng lịch",INDEX('Thông tin lớp học'!$G$10:$G$49,SUMPRODUCT(('Thông tin lớp học'!$H$10:$H$49=B$4)*('Thông tin lớp học'!$I$10:$I$49&lt;=$A9+0.000001)*('Thông tin lớp học'!$J$10:$J$49&gt;$A9+0.000001)*(ROW('Thông tin lớp học'!$H$10:$H$49)-9)))&amp;" ("&amp;INDEX('Thông tin lớp học'!$K$10:$K$49,SUMPRODUCT(('Thông tin lớp học'!$H$10:$H$49=B$4)*('Thông tin lớp học'!$I$10:$I$49&lt;=$A9+0.000001)*('Thông tin lớp học'!$J$10:$J$49&gt;$A9+0.000001)*(ROW('Thông tin lớp học'!$H$10:$H$49)-9)))&amp;")"))</f>
        <v>Toán cao cấp (A101)</v>
      </c>
      <c r="C9" s="123" t="str">
        <f t="array" ref="C9">IF(SUMPRODUCT(('Thông tin lớp học'!$H$10:$H$49=C$4)*('Thông tin lớp học'!$I$10:$I$49&lt;=$A9+0.000001)*('Thông tin lớp học'!$J$10:$J$49&gt;$A9+0.000001))=0,"",IF(SUMPRODUCT(('Thông tin lớp học'!$H$10:$H$49=C$4)*('Thông tin lớp học'!$I$10:$I$49&lt;=$A9+0.000001)*('Thông tin lớp học'!$J$10:$J$49&gt;$A9+0.000001))&gt;1,"⚠ Trùng lịch",INDEX('Thông tin lớp học'!$G$10:$G$49,SUMPRODUCT(('Thông tin lớp học'!$H$10:$H$49=C$4)*('Thông tin lớp học'!$I$10:$I$49&lt;=$A9+0.000001)*('Thông tin lớp học'!$J$10:$J$49&gt;$A9+0.000001)*(ROW('Thông tin lớp học'!$H$10:$H$49)-9)))&amp;" ("&amp;INDEX('Thông tin lớp học'!$K$10:$K$49,SUMPRODUCT(('Thông tin lớp học'!$H$10:$H$49=C$4)*('Thông tin lớp học'!$I$10:$I$49&lt;=$A9+0.000001)*('Thông tin lớp học'!$J$10:$J$49&gt;$A9+0.000001)*(ROW('Thông tin lớp học'!$H$10:$H$49)-9)))&amp;")"))</f>
        <v>Lập trình C++ (Lab 2)</v>
      </c>
      <c r="D9" s="123" t="str">
        <f t="array" ref="D9">IF(SUMPRODUCT(('Thông tin lớp học'!$H$10:$H$49=D$4)*('Thông tin lớp học'!$I$10:$I$49&lt;=$A9+0.000001)*('Thông tin lớp học'!$J$10:$J$49&gt;$A9+0.000001))=0,"",IF(SUMPRODUCT(('Thông tin lớp học'!$H$10:$H$49=D$4)*('Thông tin lớp học'!$I$10:$I$49&lt;=$A9+0.000001)*('Thông tin lớp học'!$J$10:$J$49&gt;$A9+0.000001))&gt;1,"⚠ Trùng lịch",INDEX('Thông tin lớp học'!$G$10:$G$49,SUMPRODUCT(('Thông tin lớp học'!$H$10:$H$49=D$4)*('Thông tin lớp học'!$I$10:$I$49&lt;=$A9+0.000001)*('Thông tin lớp học'!$J$10:$J$49&gt;$A9+0.000001)*(ROW('Thông tin lớp học'!$H$10:$H$49)-9)))&amp;" ("&amp;INDEX('Thông tin lớp học'!$K$10:$K$49,SUMPRODUCT(('Thông tin lớp học'!$H$10:$H$49=D$4)*('Thông tin lớp học'!$I$10:$I$49&lt;=$A9+0.000001)*('Thông tin lớp học'!$J$10:$J$49&gt;$A9+0.000001)*(ROW('Thông tin lớp học'!$H$10:$H$49)-9)))&amp;")"))</f>
        <v/>
      </c>
      <c r="E9" s="123" t="str">
        <f t="array" ref="E9">IF(SUMPRODUCT(('Thông tin lớp học'!$H$10:$H$49=E$4)*('Thông tin lớp học'!$I$10:$I$49&lt;=$A9+0.000001)*('Thông tin lớp học'!$J$10:$J$49&gt;$A9+0.000001))=0,"",IF(SUMPRODUCT(('Thông tin lớp học'!$H$10:$H$49=E$4)*('Thông tin lớp học'!$I$10:$I$49&lt;=$A9+0.000001)*('Thông tin lớp học'!$J$10:$J$49&gt;$A9+0.000001))&gt;1,"⚠ Trùng lịch",INDEX('Thông tin lớp học'!$G$10:$G$49,SUMPRODUCT(('Thông tin lớp học'!$H$10:$H$49=E$4)*('Thông tin lớp học'!$I$10:$I$49&lt;=$A9+0.000001)*('Thông tin lớp học'!$J$10:$J$49&gt;$A9+0.000001)*(ROW('Thông tin lớp học'!$H$10:$H$49)-9)))&amp;" ("&amp;INDEX('Thông tin lớp học'!$K$10:$K$49,SUMPRODUCT(('Thông tin lớp học'!$H$10:$H$49=E$4)*('Thông tin lớp học'!$I$10:$I$49&lt;=$A9+0.000001)*('Thông tin lớp học'!$J$10:$J$49&gt;$A9+0.000001)*(ROW('Thông tin lớp học'!$H$10:$H$49)-9)))&amp;")"))</f>
        <v/>
      </c>
      <c r="F9" s="123" t="str">
        <f t="array" ref="F9">IF(SUMPRODUCT(('Thông tin lớp học'!$H$10:$H$49=F$4)*('Thông tin lớp học'!$I$10:$I$49&lt;=$A9+0.000001)*('Thông tin lớp học'!$J$10:$J$49&gt;$A9+0.000001))=0,"",IF(SUMPRODUCT(('Thông tin lớp học'!$H$10:$H$49=F$4)*('Thông tin lớp học'!$I$10:$I$49&lt;=$A9+0.000001)*('Thông tin lớp học'!$J$10:$J$49&gt;$A9+0.000001))&gt;1,"⚠ Trùng lịch",INDEX('Thông tin lớp học'!$G$10:$G$49,SUMPRODUCT(('Thông tin lớp học'!$H$10:$H$49=F$4)*('Thông tin lớp học'!$I$10:$I$49&lt;=$A9+0.000001)*('Thông tin lớp học'!$J$10:$J$49&gt;$A9+0.000001)*(ROW('Thông tin lớp học'!$H$10:$H$49)-9)))&amp;" ("&amp;INDEX('Thông tin lớp học'!$K$10:$K$49,SUMPRODUCT(('Thông tin lớp học'!$H$10:$H$49=F$4)*('Thông tin lớp học'!$I$10:$I$49&lt;=$A9+0.000001)*('Thông tin lớp học'!$J$10:$J$49&gt;$A9+0.000001)*(ROW('Thông tin lớp học'!$H$10:$H$49)-9)))&amp;")"))</f>
        <v>Lập trình C++ (Lab 2)</v>
      </c>
      <c r="G9" s="123" t="str">
        <f t="array" ref="G9">IF(SUMPRODUCT(('Thông tin lớp học'!$H$10:$H$49=G$4)*('Thông tin lớp học'!$I$10:$I$49&lt;=$A9+0.000001)*('Thông tin lớp học'!$J$10:$J$49&gt;$A9+0.000001))=0,"",IF(SUMPRODUCT(('Thông tin lớp học'!$H$10:$H$49=G$4)*('Thông tin lớp học'!$I$10:$I$49&lt;=$A9+0.000001)*('Thông tin lớp học'!$J$10:$J$49&gt;$A9+0.000001))&gt;1,"⚠ Trùng lịch",INDEX('Thông tin lớp học'!$G$10:$G$49,SUMPRODUCT(('Thông tin lớp học'!$H$10:$H$49=G$4)*('Thông tin lớp học'!$I$10:$I$49&lt;=$A9+0.000001)*('Thông tin lớp học'!$J$10:$J$49&gt;$A9+0.000001)*(ROW('Thông tin lớp học'!$H$10:$H$49)-9)))&amp;" ("&amp;INDEX('Thông tin lớp học'!$K$10:$K$49,SUMPRODUCT(('Thông tin lớp học'!$H$10:$H$49=G$4)*('Thông tin lớp học'!$I$10:$I$49&lt;=$A9+0.000001)*('Thông tin lớp học'!$J$10:$J$49&gt;$A9+0.000001)*(ROW('Thông tin lớp học'!$H$10:$H$49)-9)))&amp;")"))</f>
        <v/>
      </c>
      <c r="H9" s="123" t="str">
        <f t="array" ref="H9">IF(SUMPRODUCT(('Thông tin lớp học'!$H$10:$H$49=H$4)*('Thông tin lớp học'!$I$10:$I$49&lt;=$A9+0.000001)*('Thông tin lớp học'!$J$10:$J$49&gt;$A9+0.000001))=0,"",IF(SUMPRODUCT(('Thông tin lớp học'!$H$10:$H$49=H$4)*('Thông tin lớp học'!$I$10:$I$49&lt;=$A9+0.000001)*('Thông tin lớp học'!$J$10:$J$49&gt;$A9+0.000001))&gt;1,"⚠ Trùng lịch",INDEX('Thông tin lớp học'!$G$10:$G$49,SUMPRODUCT(('Thông tin lớp học'!$H$10:$H$49=H$4)*('Thông tin lớp học'!$I$10:$I$49&lt;=$A9+0.000001)*('Thông tin lớp học'!$J$10:$J$49&gt;$A9+0.000001)*(ROW('Thông tin lớp học'!$H$10:$H$49)-9)))&amp;" ("&amp;INDEX('Thông tin lớp học'!$K$10:$K$49,SUMPRODUCT(('Thông tin lớp học'!$H$10:$H$49=H$4)*('Thông tin lớp học'!$I$10:$I$49&lt;=$A9+0.000001)*('Thông tin lớp học'!$J$10:$J$49&gt;$A9+0.000001)*(ROW('Thông tin lớp học'!$H$10:$H$49)-9)))&amp;")"))</f>
        <v/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6">
        <v>0.354166666666667</v>
      </c>
      <c r="B10" s="123" t="str">
        <f t="array" ref="B10">IF(SUMPRODUCT(('Thông tin lớp học'!$H$10:$H$49=B$4)*('Thông tin lớp học'!$I$10:$I$49&lt;=$A10+0.000001)*('Thông tin lớp học'!$J$10:$J$49&gt;$A10+0.000001))=0,"",IF(SUMPRODUCT(('Thông tin lớp học'!$H$10:$H$49=B$4)*('Thông tin lớp học'!$I$10:$I$49&lt;=$A10+0.000001)*('Thông tin lớp học'!$J$10:$J$49&gt;$A10+0.000001))&gt;1,"⚠ Trùng lịch",INDEX('Thông tin lớp học'!$G$10:$G$49,SUMPRODUCT(('Thông tin lớp học'!$H$10:$H$49=B$4)*('Thông tin lớp học'!$I$10:$I$49&lt;=$A10+0.000001)*('Thông tin lớp học'!$J$10:$J$49&gt;$A10+0.000001)*(ROW('Thông tin lớp học'!$H$10:$H$49)-9)))&amp;" ("&amp;INDEX('Thông tin lớp học'!$K$10:$K$49,SUMPRODUCT(('Thông tin lớp học'!$H$10:$H$49=B$4)*('Thông tin lớp học'!$I$10:$I$49&lt;=$A10+0.000001)*('Thông tin lớp học'!$J$10:$J$49&gt;$A10+0.000001)*(ROW('Thông tin lớp học'!$H$10:$H$49)-9)))&amp;")"))</f>
        <v>Toán cao cấp (A101)</v>
      </c>
      <c r="C10" s="123" t="str">
        <f t="array" ref="C10">IF(SUMPRODUCT(('Thông tin lớp học'!$H$10:$H$49=C$4)*('Thông tin lớp học'!$I$10:$I$49&lt;=$A10+0.000001)*('Thông tin lớp học'!$J$10:$J$49&gt;$A10+0.000001))=0,"",IF(SUMPRODUCT(('Thông tin lớp học'!$H$10:$H$49=C$4)*('Thông tin lớp học'!$I$10:$I$49&lt;=$A10+0.000001)*('Thông tin lớp học'!$J$10:$J$49&gt;$A10+0.000001))&gt;1,"⚠ Trùng lịch",INDEX('Thông tin lớp học'!$G$10:$G$49,SUMPRODUCT(('Thông tin lớp học'!$H$10:$H$49=C$4)*('Thông tin lớp học'!$I$10:$I$49&lt;=$A10+0.000001)*('Thông tin lớp học'!$J$10:$J$49&gt;$A10+0.000001)*(ROW('Thông tin lớp học'!$H$10:$H$49)-9)))&amp;" ("&amp;INDEX('Thông tin lớp học'!$K$10:$K$49,SUMPRODUCT(('Thông tin lớp học'!$H$10:$H$49=C$4)*('Thông tin lớp học'!$I$10:$I$49&lt;=$A10+0.000001)*('Thông tin lớp học'!$J$10:$J$49&gt;$A10+0.000001)*(ROW('Thông tin lớp học'!$H$10:$H$49)-9)))&amp;")"))</f>
        <v>Lập trình C++ (Lab 2)</v>
      </c>
      <c r="D10" s="123" t="str">
        <f t="array" ref="D10">IF(SUMPRODUCT(('Thông tin lớp học'!$H$10:$H$49=D$4)*('Thông tin lớp học'!$I$10:$I$49&lt;=$A10+0.000001)*('Thông tin lớp học'!$J$10:$J$49&gt;$A10+0.000001))=0,"",IF(SUMPRODUCT(('Thông tin lớp học'!$H$10:$H$49=D$4)*('Thông tin lớp học'!$I$10:$I$49&lt;=$A10+0.000001)*('Thông tin lớp học'!$J$10:$J$49&gt;$A10+0.000001))&gt;1,"⚠ Trùng lịch",INDEX('Thông tin lớp học'!$G$10:$G$49,SUMPRODUCT(('Thông tin lớp học'!$H$10:$H$49=D$4)*('Thông tin lớp học'!$I$10:$I$49&lt;=$A10+0.000001)*('Thông tin lớp học'!$J$10:$J$49&gt;$A10+0.000001)*(ROW('Thông tin lớp học'!$H$10:$H$49)-9)))&amp;" ("&amp;INDEX('Thông tin lớp học'!$K$10:$K$49,SUMPRODUCT(('Thông tin lớp học'!$H$10:$H$49=D$4)*('Thông tin lớp học'!$I$10:$I$49&lt;=$A10+0.000001)*('Thông tin lớp học'!$J$10:$J$49&gt;$A10+0.000001)*(ROW('Thông tin lớp học'!$H$10:$H$49)-9)))&amp;")"))</f>
        <v/>
      </c>
      <c r="E10" s="123" t="str">
        <f t="array" ref="E10">IF(SUMPRODUCT(('Thông tin lớp học'!$H$10:$H$49=E$4)*('Thông tin lớp học'!$I$10:$I$49&lt;=$A10+0.000001)*('Thông tin lớp học'!$J$10:$J$49&gt;$A10+0.000001))=0,"",IF(SUMPRODUCT(('Thông tin lớp học'!$H$10:$H$49=E$4)*('Thông tin lớp học'!$I$10:$I$49&lt;=$A10+0.000001)*('Thông tin lớp học'!$J$10:$J$49&gt;$A10+0.000001))&gt;1,"⚠ Trùng lịch",INDEX('Thông tin lớp học'!$G$10:$G$49,SUMPRODUCT(('Thông tin lớp học'!$H$10:$H$49=E$4)*('Thông tin lớp học'!$I$10:$I$49&lt;=$A10+0.000001)*('Thông tin lớp học'!$J$10:$J$49&gt;$A10+0.000001)*(ROW('Thông tin lớp học'!$H$10:$H$49)-9)))&amp;" ("&amp;INDEX('Thông tin lớp học'!$K$10:$K$49,SUMPRODUCT(('Thông tin lớp học'!$H$10:$H$49=E$4)*('Thông tin lớp học'!$I$10:$I$49&lt;=$A10+0.000001)*('Thông tin lớp học'!$J$10:$J$49&gt;$A10+0.000001)*(ROW('Thông tin lớp học'!$H$10:$H$49)-9)))&amp;")"))</f>
        <v/>
      </c>
      <c r="F10" s="123" t="str">
        <f t="array" ref="F10">IF(SUMPRODUCT(('Thông tin lớp học'!$H$10:$H$49=F$4)*('Thông tin lớp học'!$I$10:$I$49&lt;=$A10+0.000001)*('Thông tin lớp học'!$J$10:$J$49&gt;$A10+0.000001))=0,"",IF(SUMPRODUCT(('Thông tin lớp học'!$H$10:$H$49=F$4)*('Thông tin lớp học'!$I$10:$I$49&lt;=$A10+0.000001)*('Thông tin lớp học'!$J$10:$J$49&gt;$A10+0.000001))&gt;1,"⚠ Trùng lịch",INDEX('Thông tin lớp học'!$G$10:$G$49,SUMPRODUCT(('Thông tin lớp học'!$H$10:$H$49=F$4)*('Thông tin lớp học'!$I$10:$I$49&lt;=$A10+0.000001)*('Thông tin lớp học'!$J$10:$J$49&gt;$A10+0.000001)*(ROW('Thông tin lớp học'!$H$10:$H$49)-9)))&amp;" ("&amp;INDEX('Thông tin lớp học'!$K$10:$K$49,SUMPRODUCT(('Thông tin lớp học'!$H$10:$H$49=F$4)*('Thông tin lớp học'!$I$10:$I$49&lt;=$A10+0.000001)*('Thông tin lớp học'!$J$10:$J$49&gt;$A10+0.000001)*(ROW('Thông tin lớp học'!$H$10:$H$49)-9)))&amp;")"))</f>
        <v>Lập trình C++ (Lab 2)</v>
      </c>
      <c r="G10" s="123" t="str">
        <f t="array" ref="G10">IF(SUMPRODUCT(('Thông tin lớp học'!$H$10:$H$49=G$4)*('Thông tin lớp học'!$I$10:$I$49&lt;=$A10+0.000001)*('Thông tin lớp học'!$J$10:$J$49&gt;$A10+0.000001))=0,"",IF(SUMPRODUCT(('Thông tin lớp học'!$H$10:$H$49=G$4)*('Thông tin lớp học'!$I$10:$I$49&lt;=$A10+0.000001)*('Thông tin lớp học'!$J$10:$J$49&gt;$A10+0.000001))&gt;1,"⚠ Trùng lịch",INDEX('Thông tin lớp học'!$G$10:$G$49,SUMPRODUCT(('Thông tin lớp học'!$H$10:$H$49=G$4)*('Thông tin lớp học'!$I$10:$I$49&lt;=$A10+0.000001)*('Thông tin lớp học'!$J$10:$J$49&gt;$A10+0.000001)*(ROW('Thông tin lớp học'!$H$10:$H$49)-9)))&amp;" ("&amp;INDEX('Thông tin lớp học'!$K$10:$K$49,SUMPRODUCT(('Thông tin lớp học'!$H$10:$H$49=G$4)*('Thông tin lớp học'!$I$10:$I$49&lt;=$A10+0.000001)*('Thông tin lớp học'!$J$10:$J$49&gt;$A10+0.000001)*(ROW('Thông tin lớp học'!$H$10:$H$49)-9)))&amp;")"))</f>
        <v/>
      </c>
      <c r="H10" s="123" t="str">
        <f t="array" ref="H10">IF(SUMPRODUCT(('Thông tin lớp học'!$H$10:$H$49=H$4)*('Thông tin lớp học'!$I$10:$I$49&lt;=$A10+0.000001)*('Thông tin lớp học'!$J$10:$J$49&gt;$A10+0.000001))=0,"",IF(SUMPRODUCT(('Thông tin lớp học'!$H$10:$H$49=H$4)*('Thông tin lớp học'!$I$10:$I$49&lt;=$A10+0.000001)*('Thông tin lớp học'!$J$10:$J$49&gt;$A10+0.000001))&gt;1,"⚠ Trùng lịch",INDEX('Thông tin lớp học'!$G$10:$G$49,SUMPRODUCT(('Thông tin lớp học'!$H$10:$H$49=H$4)*('Thông tin lớp học'!$I$10:$I$49&lt;=$A10+0.000001)*('Thông tin lớp học'!$J$10:$J$49&gt;$A10+0.000001)*(ROW('Thông tin lớp học'!$H$10:$H$49)-9)))&amp;" ("&amp;INDEX('Thông tin lớp học'!$K$10:$K$49,SUMPRODUCT(('Thông tin lớp học'!$H$10:$H$49=H$4)*('Thông tin lớp học'!$I$10:$I$49&lt;=$A10+0.000001)*('Thông tin lớp học'!$J$10:$J$49&gt;$A10+0.000001)*(ROW('Thông tin lớp học'!$H$10:$H$49)-9)))&amp;")"))</f>
        <v/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6">
        <v>0.375</v>
      </c>
      <c r="B11" s="123" t="str">
        <f t="array" ref="B11">IF(SUMPRODUCT(('Thông tin lớp học'!$H$10:$H$49=B$4)*('Thông tin lớp học'!$I$10:$I$49&lt;=$A11+0.000001)*('Thông tin lớp học'!$J$10:$J$49&gt;$A11+0.000001))=0,"",IF(SUMPRODUCT(('Thông tin lớp học'!$H$10:$H$49=B$4)*('Thông tin lớp học'!$I$10:$I$49&lt;=$A11+0.000001)*('Thông tin lớp học'!$J$10:$J$49&gt;$A11+0.000001))&gt;1,"⚠ Trùng lịch",INDEX('Thông tin lớp học'!$G$10:$G$49,SUMPRODUCT(('Thông tin lớp học'!$H$10:$H$49=B$4)*('Thông tin lớp học'!$I$10:$I$49&lt;=$A11+0.000001)*('Thông tin lớp học'!$J$10:$J$49&gt;$A11+0.000001)*(ROW('Thông tin lớp học'!$H$10:$H$49)-9)))&amp;" ("&amp;INDEX('Thông tin lớp học'!$K$10:$K$49,SUMPRODUCT(('Thông tin lớp học'!$H$10:$H$49=B$4)*('Thông tin lớp học'!$I$10:$I$49&lt;=$A11+0.000001)*('Thông tin lớp học'!$J$10:$J$49&gt;$A11+0.000001)*(ROW('Thông tin lớp học'!$H$10:$H$49)-9)))&amp;")"))</f>
        <v>Toán cao cấp (A101)</v>
      </c>
      <c r="C11" s="123" t="str">
        <f t="array" ref="C11">IF(SUMPRODUCT(('Thông tin lớp học'!$H$10:$H$49=C$4)*('Thông tin lớp học'!$I$10:$I$49&lt;=$A11+0.000001)*('Thông tin lớp học'!$J$10:$J$49&gt;$A11+0.000001))=0,"",IF(SUMPRODUCT(('Thông tin lớp học'!$H$10:$H$49=C$4)*('Thông tin lớp học'!$I$10:$I$49&lt;=$A11+0.000001)*('Thông tin lớp học'!$J$10:$J$49&gt;$A11+0.000001))&gt;1,"⚠ Trùng lịch",INDEX('Thông tin lớp học'!$G$10:$G$49,SUMPRODUCT(('Thông tin lớp học'!$H$10:$H$49=C$4)*('Thông tin lớp học'!$I$10:$I$49&lt;=$A11+0.000001)*('Thông tin lớp học'!$J$10:$J$49&gt;$A11+0.000001)*(ROW('Thông tin lớp học'!$H$10:$H$49)-9)))&amp;" ("&amp;INDEX('Thông tin lớp học'!$K$10:$K$49,SUMPRODUCT(('Thông tin lớp học'!$H$10:$H$49=C$4)*('Thông tin lớp học'!$I$10:$I$49&lt;=$A11+0.000001)*('Thông tin lớp học'!$J$10:$J$49&gt;$A11+0.000001)*(ROW('Thông tin lớp học'!$H$10:$H$49)-9)))&amp;")"))</f>
        <v>Lập trình C++ (Lab 2)</v>
      </c>
      <c r="D11" s="123" t="str">
        <f t="array" ref="D11">IF(SUMPRODUCT(('Thông tin lớp học'!$H$10:$H$49=D$4)*('Thông tin lớp học'!$I$10:$I$49&lt;=$A11+0.000001)*('Thông tin lớp học'!$J$10:$J$49&gt;$A11+0.000001))=0,"",IF(SUMPRODUCT(('Thông tin lớp học'!$H$10:$H$49=D$4)*('Thông tin lớp học'!$I$10:$I$49&lt;=$A11+0.000001)*('Thông tin lớp học'!$J$10:$J$49&gt;$A11+0.000001))&gt;1,"⚠ Trùng lịch",INDEX('Thông tin lớp học'!$G$10:$G$49,SUMPRODUCT(('Thông tin lớp học'!$H$10:$H$49=D$4)*('Thông tin lớp học'!$I$10:$I$49&lt;=$A11+0.000001)*('Thông tin lớp học'!$J$10:$J$49&gt;$A11+0.000001)*(ROW('Thông tin lớp học'!$H$10:$H$49)-9)))&amp;" ("&amp;INDEX('Thông tin lớp học'!$K$10:$K$49,SUMPRODUCT(('Thông tin lớp học'!$H$10:$H$49=D$4)*('Thông tin lớp học'!$I$10:$I$49&lt;=$A11+0.000001)*('Thông tin lớp học'!$J$10:$J$49&gt;$A11+0.000001)*(ROW('Thông tin lớp học'!$H$10:$H$49)-9)))&amp;")"))</f>
        <v>Tiếng Anh giao tiếp (C105)</v>
      </c>
      <c r="E11" s="123" t="str">
        <f t="array" ref="E11">IF(SUMPRODUCT(('Thông tin lớp học'!$H$10:$H$49=E$4)*('Thông tin lớp học'!$I$10:$I$49&lt;=$A11+0.000001)*('Thông tin lớp học'!$J$10:$J$49&gt;$A11+0.000001))=0,"",IF(SUMPRODUCT(('Thông tin lớp học'!$H$10:$H$49=E$4)*('Thông tin lớp học'!$I$10:$I$49&lt;=$A11+0.000001)*('Thông tin lớp học'!$J$10:$J$49&gt;$A11+0.000001))&gt;1,"⚠ Trùng lịch",INDEX('Thông tin lớp học'!$G$10:$G$49,SUMPRODUCT(('Thông tin lớp học'!$H$10:$H$49=E$4)*('Thông tin lớp học'!$I$10:$I$49&lt;=$A11+0.000001)*('Thông tin lớp học'!$J$10:$J$49&gt;$A11+0.000001)*(ROW('Thông tin lớp học'!$H$10:$H$49)-9)))&amp;" ("&amp;INDEX('Thông tin lớp học'!$K$10:$K$49,SUMPRODUCT(('Thông tin lớp học'!$H$10:$H$49=E$4)*('Thông tin lớp học'!$I$10:$I$49&lt;=$A11+0.000001)*('Thông tin lớp học'!$J$10:$J$49&gt;$A11+0.000001)*(ROW('Thông tin lớp học'!$H$10:$H$49)-9)))&amp;")"))</f>
        <v>Toán cao cấp (A101)</v>
      </c>
      <c r="F11" s="123" t="str">
        <f t="array" ref="F11">IF(SUMPRODUCT(('Thông tin lớp học'!$H$10:$H$49=F$4)*('Thông tin lớp học'!$I$10:$I$49&lt;=$A11+0.000001)*('Thông tin lớp học'!$J$10:$J$49&gt;$A11+0.000001))=0,"",IF(SUMPRODUCT(('Thông tin lớp học'!$H$10:$H$49=F$4)*('Thông tin lớp học'!$I$10:$I$49&lt;=$A11+0.000001)*('Thông tin lớp học'!$J$10:$J$49&gt;$A11+0.000001))&gt;1,"⚠ Trùng lịch",INDEX('Thông tin lớp học'!$G$10:$G$49,SUMPRODUCT(('Thông tin lớp học'!$H$10:$H$49=F$4)*('Thông tin lớp học'!$I$10:$I$49&lt;=$A11+0.000001)*('Thông tin lớp học'!$J$10:$J$49&gt;$A11+0.000001)*(ROW('Thông tin lớp học'!$H$10:$H$49)-9)))&amp;" ("&amp;INDEX('Thông tin lớp học'!$K$10:$K$49,SUMPRODUCT(('Thông tin lớp học'!$H$10:$H$49=F$4)*('Thông tin lớp học'!$I$10:$I$49&lt;=$A11+0.000001)*('Thông tin lớp học'!$J$10:$J$49&gt;$A11+0.000001)*(ROW('Thông tin lớp học'!$H$10:$H$49)-9)))&amp;")"))</f>
        <v>Lập trình C++ (Lab 2)</v>
      </c>
      <c r="G11" s="123" t="str">
        <f t="array" ref="G11">IF(SUMPRODUCT(('Thông tin lớp học'!$H$10:$H$49=G$4)*('Thông tin lớp học'!$I$10:$I$49&lt;=$A11+0.000001)*('Thông tin lớp học'!$J$10:$J$49&gt;$A11+0.000001))=0,"",IF(SUMPRODUCT(('Thông tin lớp học'!$H$10:$H$49=G$4)*('Thông tin lớp học'!$I$10:$I$49&lt;=$A11+0.000001)*('Thông tin lớp học'!$J$10:$J$49&gt;$A11+0.000001))&gt;1,"⚠ Trùng lịch",INDEX('Thông tin lớp học'!$G$10:$G$49,SUMPRODUCT(('Thông tin lớp học'!$H$10:$H$49=G$4)*('Thông tin lớp học'!$I$10:$I$49&lt;=$A11+0.000001)*('Thông tin lớp học'!$J$10:$J$49&gt;$A11+0.000001)*(ROW('Thông tin lớp học'!$H$10:$H$49)-9)))&amp;" ("&amp;INDEX('Thông tin lớp học'!$K$10:$K$49,SUMPRODUCT(('Thông tin lớp học'!$H$10:$H$49=G$4)*('Thông tin lớp học'!$I$10:$I$49&lt;=$A11+0.000001)*('Thông tin lớp học'!$J$10:$J$49&gt;$A11+0.000001)*(ROW('Thông tin lớp học'!$H$10:$H$49)-9)))&amp;")"))</f>
        <v/>
      </c>
      <c r="H11" s="123" t="str">
        <f t="array" ref="H11">IF(SUMPRODUCT(('Thông tin lớp học'!$H$10:$H$49=H$4)*('Thông tin lớp học'!$I$10:$I$49&lt;=$A11+0.000001)*('Thông tin lớp học'!$J$10:$J$49&gt;$A11+0.000001))=0,"",IF(SUMPRODUCT(('Thông tin lớp học'!$H$10:$H$49=H$4)*('Thông tin lớp học'!$I$10:$I$49&lt;=$A11+0.000001)*('Thông tin lớp học'!$J$10:$J$49&gt;$A11+0.000001))&gt;1,"⚠ Trùng lịch",INDEX('Thông tin lớp học'!$G$10:$G$49,SUMPRODUCT(('Thông tin lớp học'!$H$10:$H$49=H$4)*('Thông tin lớp học'!$I$10:$I$49&lt;=$A11+0.000001)*('Thông tin lớp học'!$J$10:$J$49&gt;$A11+0.000001)*(ROW('Thông tin lớp học'!$H$10:$H$49)-9)))&amp;" ("&amp;INDEX('Thông tin lớp học'!$K$10:$K$49,SUMPRODUCT(('Thông tin lớp học'!$H$10:$H$49=H$4)*('Thông tin lớp học'!$I$10:$I$49&lt;=$A11+0.000001)*('Thông tin lớp học'!$J$10:$J$49&gt;$A11+0.000001)*(ROW('Thông tin lớp học'!$H$10:$H$49)-9)))&amp;")"))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6">
        <v>0.395833333333333</v>
      </c>
      <c r="B12" s="123" t="str">
        <f t="array" ref="B12">IF(SUMPRODUCT(('Thông tin lớp học'!$H$10:$H$49=B$4)*('Thông tin lớp học'!$I$10:$I$49&lt;=$A12+0.000001)*('Thông tin lớp học'!$J$10:$J$49&gt;$A12+0.000001))=0,"",IF(SUMPRODUCT(('Thông tin lớp học'!$H$10:$H$49=B$4)*('Thông tin lớp học'!$I$10:$I$49&lt;=$A12+0.000001)*('Thông tin lớp học'!$J$10:$J$49&gt;$A12+0.000001))&gt;1,"⚠ Trùng lịch",INDEX('Thông tin lớp học'!$G$10:$G$49,SUMPRODUCT(('Thông tin lớp học'!$H$10:$H$49=B$4)*('Thông tin lớp học'!$I$10:$I$49&lt;=$A12+0.000001)*('Thông tin lớp học'!$J$10:$J$49&gt;$A12+0.000001)*(ROW('Thông tin lớp học'!$H$10:$H$49)-9)))&amp;" ("&amp;INDEX('Thông tin lớp học'!$K$10:$K$49,SUMPRODUCT(('Thông tin lớp học'!$H$10:$H$49=B$4)*('Thông tin lớp học'!$I$10:$I$49&lt;=$A12+0.000001)*('Thông tin lớp học'!$J$10:$J$49&gt;$A12+0.000001)*(ROW('Thông tin lớp học'!$H$10:$H$49)-9)))&amp;")"))</f>
        <v/>
      </c>
      <c r="C12" s="123" t="str">
        <f t="array" ref="C12">IF(SUMPRODUCT(('Thông tin lớp học'!$H$10:$H$49=C$4)*('Thông tin lớp học'!$I$10:$I$49&lt;=$A12+0.000001)*('Thông tin lớp học'!$J$10:$J$49&gt;$A12+0.000001))=0,"",IF(SUMPRODUCT(('Thông tin lớp học'!$H$10:$H$49=C$4)*('Thông tin lớp học'!$I$10:$I$49&lt;=$A12+0.000001)*('Thông tin lớp học'!$J$10:$J$49&gt;$A12+0.000001))&gt;1,"⚠ Trùng lịch",INDEX('Thông tin lớp học'!$G$10:$G$49,SUMPRODUCT(('Thông tin lớp học'!$H$10:$H$49=C$4)*('Thông tin lớp học'!$I$10:$I$49&lt;=$A12+0.000001)*('Thông tin lớp học'!$J$10:$J$49&gt;$A12+0.000001)*(ROW('Thông tin lớp học'!$H$10:$H$49)-9)))&amp;" ("&amp;INDEX('Thông tin lớp học'!$K$10:$K$49,SUMPRODUCT(('Thông tin lớp học'!$H$10:$H$49=C$4)*('Thông tin lớp học'!$I$10:$I$49&lt;=$A12+0.000001)*('Thông tin lớp học'!$J$10:$J$49&gt;$A12+0.000001)*(ROW('Thông tin lớp học'!$H$10:$H$49)-9)))&amp;")"))</f>
        <v>Lập trình C++ (Lab 2)</v>
      </c>
      <c r="D12" s="123" t="str">
        <f t="array" ref="D12">IF(SUMPRODUCT(('Thông tin lớp học'!$H$10:$H$49=D$4)*('Thông tin lớp học'!$I$10:$I$49&lt;=$A12+0.000001)*('Thông tin lớp học'!$J$10:$J$49&gt;$A12+0.000001))=0,"",IF(SUMPRODUCT(('Thông tin lớp học'!$H$10:$H$49=D$4)*('Thông tin lớp học'!$I$10:$I$49&lt;=$A12+0.000001)*('Thông tin lớp học'!$J$10:$J$49&gt;$A12+0.000001))&gt;1,"⚠ Trùng lịch",INDEX('Thông tin lớp học'!$G$10:$G$49,SUMPRODUCT(('Thông tin lớp học'!$H$10:$H$49=D$4)*('Thông tin lớp học'!$I$10:$I$49&lt;=$A12+0.000001)*('Thông tin lớp học'!$J$10:$J$49&gt;$A12+0.000001)*(ROW('Thông tin lớp học'!$H$10:$H$49)-9)))&amp;" ("&amp;INDEX('Thông tin lớp học'!$K$10:$K$49,SUMPRODUCT(('Thông tin lớp học'!$H$10:$H$49=D$4)*('Thông tin lớp học'!$I$10:$I$49&lt;=$A12+0.000001)*('Thông tin lớp học'!$J$10:$J$49&gt;$A12+0.000001)*(ROW('Thông tin lớp học'!$H$10:$H$49)-9)))&amp;")"))</f>
        <v>Tiếng Anh giao tiếp (C105)</v>
      </c>
      <c r="E12" s="123" t="str">
        <f t="array" ref="E12">IF(SUMPRODUCT(('Thông tin lớp học'!$H$10:$H$49=E$4)*('Thông tin lớp học'!$I$10:$I$49&lt;=$A12+0.000001)*('Thông tin lớp học'!$J$10:$J$49&gt;$A12+0.000001))=0,"",IF(SUMPRODUCT(('Thông tin lớp học'!$H$10:$H$49=E$4)*('Thông tin lớp học'!$I$10:$I$49&lt;=$A12+0.000001)*('Thông tin lớp học'!$J$10:$J$49&gt;$A12+0.000001))&gt;1,"⚠ Trùng lịch",INDEX('Thông tin lớp học'!$G$10:$G$49,SUMPRODUCT(('Thông tin lớp học'!$H$10:$H$49=E$4)*('Thông tin lớp học'!$I$10:$I$49&lt;=$A12+0.000001)*('Thông tin lớp học'!$J$10:$J$49&gt;$A12+0.000001)*(ROW('Thông tin lớp học'!$H$10:$H$49)-9)))&amp;" ("&amp;INDEX('Thông tin lớp học'!$K$10:$K$49,SUMPRODUCT(('Thông tin lớp học'!$H$10:$H$49=E$4)*('Thông tin lớp học'!$I$10:$I$49&lt;=$A12+0.000001)*('Thông tin lớp học'!$J$10:$J$49&gt;$A12+0.000001)*(ROW('Thông tin lớp học'!$H$10:$H$49)-9)))&amp;")"))</f>
        <v>Toán cao cấp (A101)</v>
      </c>
      <c r="F12" s="123" t="str">
        <f t="array" ref="F12">IF(SUMPRODUCT(('Thông tin lớp học'!$H$10:$H$49=F$4)*('Thông tin lớp học'!$I$10:$I$49&lt;=$A12+0.000001)*('Thông tin lớp học'!$J$10:$J$49&gt;$A12+0.000001))=0,"",IF(SUMPRODUCT(('Thông tin lớp học'!$H$10:$H$49=F$4)*('Thông tin lớp học'!$I$10:$I$49&lt;=$A12+0.000001)*('Thông tin lớp học'!$J$10:$J$49&gt;$A12+0.000001))&gt;1,"⚠ Trùng lịch",INDEX('Thông tin lớp học'!$G$10:$G$49,SUMPRODUCT(('Thông tin lớp học'!$H$10:$H$49=F$4)*('Thông tin lớp học'!$I$10:$I$49&lt;=$A12+0.000001)*('Thông tin lớp học'!$J$10:$J$49&gt;$A12+0.000001)*(ROW('Thông tin lớp học'!$H$10:$H$49)-9)))&amp;" ("&amp;INDEX('Thông tin lớp học'!$K$10:$K$49,SUMPRODUCT(('Thông tin lớp học'!$H$10:$H$49=F$4)*('Thông tin lớp học'!$I$10:$I$49&lt;=$A12+0.000001)*('Thông tin lớp học'!$J$10:$J$49&gt;$A12+0.000001)*(ROW('Thông tin lớp học'!$H$10:$H$49)-9)))&amp;")"))</f>
        <v>Lập trình C++ (Lab 2)</v>
      </c>
      <c r="G12" s="123" t="str">
        <f t="array" ref="G12">IF(SUMPRODUCT(('Thông tin lớp học'!$H$10:$H$49=G$4)*('Thông tin lớp học'!$I$10:$I$49&lt;=$A12+0.000001)*('Thông tin lớp học'!$J$10:$J$49&gt;$A12+0.000001))=0,"",IF(SUMPRODUCT(('Thông tin lớp học'!$H$10:$H$49=G$4)*('Thông tin lớp học'!$I$10:$I$49&lt;=$A12+0.000001)*('Thông tin lớp học'!$J$10:$J$49&gt;$A12+0.000001))&gt;1,"⚠ Trùng lịch",INDEX('Thông tin lớp học'!$G$10:$G$49,SUMPRODUCT(('Thông tin lớp học'!$H$10:$H$49=G$4)*('Thông tin lớp học'!$I$10:$I$49&lt;=$A12+0.000001)*('Thông tin lớp học'!$J$10:$J$49&gt;$A12+0.000001)*(ROW('Thông tin lớp học'!$H$10:$H$49)-9)))&amp;" ("&amp;INDEX('Thông tin lớp học'!$K$10:$K$49,SUMPRODUCT(('Thông tin lớp học'!$H$10:$H$49=G$4)*('Thông tin lớp học'!$I$10:$I$49&lt;=$A12+0.000001)*('Thông tin lớp học'!$J$10:$J$49&gt;$A12+0.000001)*(ROW('Thông tin lớp học'!$H$10:$H$49)-9)))&amp;")"))</f>
        <v/>
      </c>
      <c r="H12" s="123" t="str">
        <f t="array" ref="H12">IF(SUMPRODUCT(('Thông tin lớp học'!$H$10:$H$49=H$4)*('Thông tin lớp học'!$I$10:$I$49&lt;=$A12+0.000001)*('Thông tin lớp học'!$J$10:$J$49&gt;$A12+0.000001))=0,"",IF(SUMPRODUCT(('Thông tin lớp học'!$H$10:$H$49=H$4)*('Thông tin lớp học'!$I$10:$I$49&lt;=$A12+0.000001)*('Thông tin lớp học'!$J$10:$J$49&gt;$A12+0.000001))&gt;1,"⚠ Trùng lịch",INDEX('Thông tin lớp học'!$G$10:$G$49,SUMPRODUCT(('Thông tin lớp học'!$H$10:$H$49=H$4)*('Thông tin lớp học'!$I$10:$I$49&lt;=$A12+0.000001)*('Thông tin lớp học'!$J$10:$J$49&gt;$A12+0.000001)*(ROW('Thông tin lớp học'!$H$10:$H$49)-9)))&amp;" ("&amp;INDEX('Thông tin lớp học'!$K$10:$K$49,SUMPRODUCT(('Thông tin lớp học'!$H$10:$H$49=H$4)*('Thông tin lớp học'!$I$10:$I$49&lt;=$A12+0.000001)*('Thông tin lớp học'!$J$10:$J$49&gt;$A12+0.000001)*(ROW('Thông tin lớp học'!$H$10:$H$49)-9)))&amp;")"))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6">
        <v>0.416666666666667</v>
      </c>
      <c r="B13" s="123" t="str">
        <f t="array" ref="B13">IF(SUMPRODUCT(('Thông tin lớp học'!$H$10:$H$49=B$4)*('Thông tin lớp học'!$I$10:$I$49&lt;=$A13+0.000001)*('Thông tin lớp học'!$J$10:$J$49&gt;$A13+0.000001))=0,"",IF(SUMPRODUCT(('Thông tin lớp học'!$H$10:$H$49=B$4)*('Thông tin lớp học'!$I$10:$I$49&lt;=$A13+0.000001)*('Thông tin lớp học'!$J$10:$J$49&gt;$A13+0.000001))&gt;1,"⚠ Trùng lịch",INDEX('Thông tin lớp học'!$G$10:$G$49,SUMPRODUCT(('Thông tin lớp học'!$H$10:$H$49=B$4)*('Thông tin lớp học'!$I$10:$I$49&lt;=$A13+0.000001)*('Thông tin lớp học'!$J$10:$J$49&gt;$A13+0.000001)*(ROW('Thông tin lớp học'!$H$10:$H$49)-9)))&amp;" ("&amp;INDEX('Thông tin lớp học'!$K$10:$K$49,SUMPRODUCT(('Thông tin lớp học'!$H$10:$H$49=B$4)*('Thông tin lớp học'!$I$10:$I$49&lt;=$A13+0.000001)*('Thông tin lớp học'!$J$10:$J$49&gt;$A13+0.000001)*(ROW('Thông tin lớp học'!$H$10:$H$49)-9)))&amp;")"))</f>
        <v/>
      </c>
      <c r="C13" s="123" t="str">
        <f t="array" ref="C13">IF(SUMPRODUCT(('Thông tin lớp học'!$H$10:$H$49=C$4)*('Thông tin lớp học'!$I$10:$I$49&lt;=$A13+0.000001)*('Thông tin lớp học'!$J$10:$J$49&gt;$A13+0.000001))=0,"",IF(SUMPRODUCT(('Thông tin lớp học'!$H$10:$H$49=C$4)*('Thông tin lớp học'!$I$10:$I$49&lt;=$A13+0.000001)*('Thông tin lớp học'!$J$10:$J$49&gt;$A13+0.000001))&gt;1,"⚠ Trùng lịch",INDEX('Thông tin lớp học'!$G$10:$G$49,SUMPRODUCT(('Thông tin lớp học'!$H$10:$H$49=C$4)*('Thông tin lớp học'!$I$10:$I$49&lt;=$A13+0.000001)*('Thông tin lớp học'!$J$10:$J$49&gt;$A13+0.000001)*(ROW('Thông tin lớp học'!$H$10:$H$49)-9)))&amp;" ("&amp;INDEX('Thông tin lớp học'!$K$10:$K$49,SUMPRODUCT(('Thông tin lớp học'!$H$10:$H$49=C$4)*('Thông tin lớp học'!$I$10:$I$49&lt;=$A13+0.000001)*('Thông tin lớp học'!$J$10:$J$49&gt;$A13+0.000001)*(ROW('Thông tin lớp học'!$H$10:$H$49)-9)))&amp;")"))</f>
        <v>Lập trình C++ (Lab 2)</v>
      </c>
      <c r="D13" s="123" t="str">
        <f t="array" ref="D13">IF(SUMPRODUCT(('Thông tin lớp học'!$H$10:$H$49=D$4)*('Thông tin lớp học'!$I$10:$I$49&lt;=$A13+0.000001)*('Thông tin lớp học'!$J$10:$J$49&gt;$A13+0.000001))=0,"",IF(SUMPRODUCT(('Thông tin lớp học'!$H$10:$H$49=D$4)*('Thông tin lớp học'!$I$10:$I$49&lt;=$A13+0.000001)*('Thông tin lớp học'!$J$10:$J$49&gt;$A13+0.000001))&gt;1,"⚠ Trùng lịch",INDEX('Thông tin lớp học'!$G$10:$G$49,SUMPRODUCT(('Thông tin lớp học'!$H$10:$H$49=D$4)*('Thông tin lớp học'!$I$10:$I$49&lt;=$A13+0.000001)*('Thông tin lớp học'!$J$10:$J$49&gt;$A13+0.000001)*(ROW('Thông tin lớp học'!$H$10:$H$49)-9)))&amp;" ("&amp;INDEX('Thông tin lớp học'!$K$10:$K$49,SUMPRODUCT(('Thông tin lớp học'!$H$10:$H$49=D$4)*('Thông tin lớp học'!$I$10:$I$49&lt;=$A13+0.000001)*('Thông tin lớp học'!$J$10:$J$49&gt;$A13+0.000001)*(ROW('Thông tin lớp học'!$H$10:$H$49)-9)))&amp;")"))</f>
        <v>Tiếng Anh giao tiếp (C105)</v>
      </c>
      <c r="E13" s="123" t="str">
        <f t="array" ref="E13">IF(SUMPRODUCT(('Thông tin lớp học'!$H$10:$H$49=E$4)*('Thông tin lớp học'!$I$10:$I$49&lt;=$A13+0.000001)*('Thông tin lớp học'!$J$10:$J$49&gt;$A13+0.000001))=0,"",IF(SUMPRODUCT(('Thông tin lớp học'!$H$10:$H$49=E$4)*('Thông tin lớp học'!$I$10:$I$49&lt;=$A13+0.000001)*('Thông tin lớp học'!$J$10:$J$49&gt;$A13+0.000001))&gt;1,"⚠ Trùng lịch",INDEX('Thông tin lớp học'!$G$10:$G$49,SUMPRODUCT(('Thông tin lớp học'!$H$10:$H$49=E$4)*('Thông tin lớp học'!$I$10:$I$49&lt;=$A13+0.000001)*('Thông tin lớp học'!$J$10:$J$49&gt;$A13+0.000001)*(ROW('Thông tin lớp học'!$H$10:$H$49)-9)))&amp;" ("&amp;INDEX('Thông tin lớp học'!$K$10:$K$49,SUMPRODUCT(('Thông tin lớp học'!$H$10:$H$49=E$4)*('Thông tin lớp học'!$I$10:$I$49&lt;=$A13+0.000001)*('Thông tin lớp học'!$J$10:$J$49&gt;$A13+0.000001)*(ROW('Thông tin lớp học'!$H$10:$H$49)-9)))&amp;")"))</f>
        <v>Toán cao cấp (A101)</v>
      </c>
      <c r="F13" s="123" t="str">
        <f t="array" ref="F13">IF(SUMPRODUCT(('Thông tin lớp học'!$H$10:$H$49=F$4)*('Thông tin lớp học'!$I$10:$I$49&lt;=$A13+0.000001)*('Thông tin lớp học'!$J$10:$J$49&gt;$A13+0.000001))=0,"",IF(SUMPRODUCT(('Thông tin lớp học'!$H$10:$H$49=F$4)*('Thông tin lớp học'!$I$10:$I$49&lt;=$A13+0.000001)*('Thông tin lớp học'!$J$10:$J$49&gt;$A13+0.000001))&gt;1,"⚠ Trùng lịch",INDEX('Thông tin lớp học'!$G$10:$G$49,SUMPRODUCT(('Thông tin lớp học'!$H$10:$H$49=F$4)*('Thông tin lớp học'!$I$10:$I$49&lt;=$A13+0.000001)*('Thông tin lớp học'!$J$10:$J$49&gt;$A13+0.000001)*(ROW('Thông tin lớp học'!$H$10:$H$49)-9)))&amp;" ("&amp;INDEX('Thông tin lớp học'!$K$10:$K$49,SUMPRODUCT(('Thông tin lớp học'!$H$10:$H$49=F$4)*('Thông tin lớp học'!$I$10:$I$49&lt;=$A13+0.000001)*('Thông tin lớp học'!$J$10:$J$49&gt;$A13+0.000001)*(ROW('Thông tin lớp học'!$H$10:$H$49)-9)))&amp;")"))</f>
        <v/>
      </c>
      <c r="G13" s="123" t="str">
        <f t="array" ref="G13">IF(SUMPRODUCT(('Thông tin lớp học'!$H$10:$H$49=G$4)*('Thông tin lớp học'!$I$10:$I$49&lt;=$A13+0.000001)*('Thông tin lớp học'!$J$10:$J$49&gt;$A13+0.000001))=0,"",IF(SUMPRODUCT(('Thông tin lớp học'!$H$10:$H$49=G$4)*('Thông tin lớp học'!$I$10:$I$49&lt;=$A13+0.000001)*('Thông tin lớp học'!$J$10:$J$49&gt;$A13+0.000001))&gt;1,"⚠ Trùng lịch",INDEX('Thông tin lớp học'!$G$10:$G$49,SUMPRODUCT(('Thông tin lớp học'!$H$10:$H$49=G$4)*('Thông tin lớp học'!$I$10:$I$49&lt;=$A13+0.000001)*('Thông tin lớp học'!$J$10:$J$49&gt;$A13+0.000001)*(ROW('Thông tin lớp học'!$H$10:$H$49)-9)))&amp;" ("&amp;INDEX('Thông tin lớp học'!$K$10:$K$49,SUMPRODUCT(('Thông tin lớp học'!$H$10:$H$49=G$4)*('Thông tin lớp học'!$I$10:$I$49&lt;=$A13+0.000001)*('Thông tin lớp học'!$J$10:$J$49&gt;$A13+0.000001)*(ROW('Thông tin lớp học'!$H$10:$H$49)-9)))&amp;")"))</f>
        <v/>
      </c>
      <c r="H13" s="123" t="str">
        <f t="array" ref="H13">IF(SUMPRODUCT(('Thông tin lớp học'!$H$10:$H$49=H$4)*('Thông tin lớp học'!$I$10:$I$49&lt;=$A13+0.000001)*('Thông tin lớp học'!$J$10:$J$49&gt;$A13+0.000001))=0,"",IF(SUMPRODUCT(('Thông tin lớp học'!$H$10:$H$49=H$4)*('Thông tin lớp học'!$I$10:$I$49&lt;=$A13+0.000001)*('Thông tin lớp học'!$J$10:$J$49&gt;$A13+0.000001))&gt;1,"⚠ Trùng lịch",INDEX('Thông tin lớp học'!$G$10:$G$49,SUMPRODUCT(('Thông tin lớp học'!$H$10:$H$49=H$4)*('Thông tin lớp học'!$I$10:$I$49&lt;=$A13+0.000001)*('Thông tin lớp học'!$J$10:$J$49&gt;$A13+0.000001)*(ROW('Thông tin lớp học'!$H$10:$H$49)-9)))&amp;" ("&amp;INDEX('Thông tin lớp học'!$K$10:$K$49,SUMPRODUCT(('Thông tin lớp học'!$H$10:$H$49=H$4)*('Thông tin lớp học'!$I$10:$I$49&lt;=$A13+0.000001)*('Thông tin lớp học'!$J$10:$J$49&gt;$A13+0.000001)*(ROW('Thông tin lớp học'!$H$10:$H$49)-9)))&amp;")"))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6">
        <v>0.4375</v>
      </c>
      <c r="B14" s="123" t="str">
        <f t="array" ref="B14">IF(SUMPRODUCT(('Thông tin lớp học'!$H$10:$H$49=B$4)*('Thông tin lớp học'!$I$10:$I$49&lt;=$A14+0.000001)*('Thông tin lớp học'!$J$10:$J$49&gt;$A14+0.000001))=0,"",IF(SUMPRODUCT(('Thông tin lớp học'!$H$10:$H$49=B$4)*('Thông tin lớp học'!$I$10:$I$49&lt;=$A14+0.000001)*('Thông tin lớp học'!$J$10:$J$49&gt;$A14+0.000001))&gt;1,"⚠ Trùng lịch",INDEX('Thông tin lớp học'!$G$10:$G$49,SUMPRODUCT(('Thông tin lớp học'!$H$10:$H$49=B$4)*('Thông tin lớp học'!$I$10:$I$49&lt;=$A14+0.000001)*('Thông tin lớp học'!$J$10:$J$49&gt;$A14+0.000001)*(ROW('Thông tin lớp học'!$H$10:$H$49)-9)))&amp;" ("&amp;INDEX('Thông tin lớp học'!$K$10:$K$49,SUMPRODUCT(('Thông tin lớp học'!$H$10:$H$49=B$4)*('Thông tin lớp học'!$I$10:$I$49&lt;=$A14+0.000001)*('Thông tin lớp học'!$J$10:$J$49&gt;$A14+0.000001)*(ROW('Thông tin lớp học'!$H$10:$H$49)-9)))&amp;")"))</f>
        <v/>
      </c>
      <c r="C14" s="123" t="str">
        <f t="array" ref="C14">IF(SUMPRODUCT(('Thông tin lớp học'!$H$10:$H$49=C$4)*('Thông tin lớp học'!$I$10:$I$49&lt;=$A14+0.000001)*('Thông tin lớp học'!$J$10:$J$49&gt;$A14+0.000001))=0,"",IF(SUMPRODUCT(('Thông tin lớp học'!$H$10:$H$49=C$4)*('Thông tin lớp học'!$I$10:$I$49&lt;=$A14+0.000001)*('Thông tin lớp học'!$J$10:$J$49&gt;$A14+0.000001))&gt;1,"⚠ Trùng lịch",INDEX('Thông tin lớp học'!$G$10:$G$49,SUMPRODUCT(('Thông tin lớp học'!$H$10:$H$49=C$4)*('Thông tin lớp học'!$I$10:$I$49&lt;=$A14+0.000001)*('Thông tin lớp học'!$J$10:$J$49&gt;$A14+0.000001)*(ROW('Thông tin lớp học'!$H$10:$H$49)-9)))&amp;" ("&amp;INDEX('Thông tin lớp học'!$K$10:$K$49,SUMPRODUCT(('Thông tin lớp học'!$H$10:$H$49=C$4)*('Thông tin lớp học'!$I$10:$I$49&lt;=$A14+0.000001)*('Thông tin lớp học'!$J$10:$J$49&gt;$A14+0.000001)*(ROW('Thông tin lớp học'!$H$10:$H$49)-9)))&amp;")"))</f>
        <v/>
      </c>
      <c r="D14" s="123" t="str">
        <f t="array" ref="D14">IF(SUMPRODUCT(('Thông tin lớp học'!$H$10:$H$49=D$4)*('Thông tin lớp học'!$I$10:$I$49&lt;=$A14+0.000001)*('Thông tin lớp học'!$J$10:$J$49&gt;$A14+0.000001))=0,"",IF(SUMPRODUCT(('Thông tin lớp học'!$H$10:$H$49=D$4)*('Thông tin lớp học'!$I$10:$I$49&lt;=$A14+0.000001)*('Thông tin lớp học'!$J$10:$J$49&gt;$A14+0.000001))&gt;1,"⚠ Trùng lịch",INDEX('Thông tin lớp học'!$G$10:$G$49,SUMPRODUCT(('Thông tin lớp học'!$H$10:$H$49=D$4)*('Thông tin lớp học'!$I$10:$I$49&lt;=$A14+0.000001)*('Thông tin lớp học'!$J$10:$J$49&gt;$A14+0.000001)*(ROW('Thông tin lớp học'!$H$10:$H$49)-9)))&amp;" ("&amp;INDEX('Thông tin lớp học'!$K$10:$K$49,SUMPRODUCT(('Thông tin lớp học'!$H$10:$H$49=D$4)*('Thông tin lớp học'!$I$10:$I$49&lt;=$A14+0.000001)*('Thông tin lớp học'!$J$10:$J$49&gt;$A14+0.000001)*(ROW('Thông tin lớp học'!$H$10:$H$49)-9)))&amp;")"))</f>
        <v>Tiếng Anh giao tiếp (C105)</v>
      </c>
      <c r="E14" s="123" t="str">
        <f t="array" ref="E14">IF(SUMPRODUCT(('Thông tin lớp học'!$H$10:$H$49=E$4)*('Thông tin lớp học'!$I$10:$I$49&lt;=$A14+0.000001)*('Thông tin lớp học'!$J$10:$J$49&gt;$A14+0.000001))=0,"",IF(SUMPRODUCT(('Thông tin lớp học'!$H$10:$H$49=E$4)*('Thông tin lớp học'!$I$10:$I$49&lt;=$A14+0.000001)*('Thông tin lớp học'!$J$10:$J$49&gt;$A14+0.000001))&gt;1,"⚠ Trùng lịch",INDEX('Thông tin lớp học'!$G$10:$G$49,SUMPRODUCT(('Thông tin lớp học'!$H$10:$H$49=E$4)*('Thông tin lớp học'!$I$10:$I$49&lt;=$A14+0.000001)*('Thông tin lớp học'!$J$10:$J$49&gt;$A14+0.000001)*(ROW('Thông tin lớp học'!$H$10:$H$49)-9)))&amp;" ("&amp;INDEX('Thông tin lớp học'!$K$10:$K$49,SUMPRODUCT(('Thông tin lớp học'!$H$10:$H$49=E$4)*('Thông tin lớp học'!$I$10:$I$49&lt;=$A14+0.000001)*('Thông tin lớp học'!$J$10:$J$49&gt;$A14+0.000001)*(ROW('Thông tin lớp học'!$H$10:$H$49)-9)))&amp;")"))</f>
        <v>Toán cao cấp (A101)</v>
      </c>
      <c r="F14" s="123" t="str">
        <f t="array" ref="F14">IF(SUMPRODUCT(('Thông tin lớp học'!$H$10:$H$49=F$4)*('Thông tin lớp học'!$I$10:$I$49&lt;=$A14+0.000001)*('Thông tin lớp học'!$J$10:$J$49&gt;$A14+0.000001))=0,"",IF(SUMPRODUCT(('Thông tin lớp học'!$H$10:$H$49=F$4)*('Thông tin lớp học'!$I$10:$I$49&lt;=$A14+0.000001)*('Thông tin lớp học'!$J$10:$J$49&gt;$A14+0.000001))&gt;1,"⚠ Trùng lịch",INDEX('Thông tin lớp học'!$G$10:$G$49,SUMPRODUCT(('Thông tin lớp học'!$H$10:$H$49=F$4)*('Thông tin lớp học'!$I$10:$I$49&lt;=$A14+0.000001)*('Thông tin lớp học'!$J$10:$J$49&gt;$A14+0.000001)*(ROW('Thông tin lớp học'!$H$10:$H$49)-9)))&amp;" ("&amp;INDEX('Thông tin lớp học'!$K$10:$K$49,SUMPRODUCT(('Thông tin lớp học'!$H$10:$H$49=F$4)*('Thông tin lớp học'!$I$10:$I$49&lt;=$A14+0.000001)*('Thông tin lớp học'!$J$10:$J$49&gt;$A14+0.000001)*(ROW('Thông tin lớp học'!$H$10:$H$49)-9)))&amp;")"))</f>
        <v/>
      </c>
      <c r="G14" s="123" t="str">
        <f t="array" ref="G14">IF(SUMPRODUCT(('Thông tin lớp học'!$H$10:$H$49=G$4)*('Thông tin lớp học'!$I$10:$I$49&lt;=$A14+0.000001)*('Thông tin lớp học'!$J$10:$J$49&gt;$A14+0.000001))=0,"",IF(SUMPRODUCT(('Thông tin lớp học'!$H$10:$H$49=G$4)*('Thông tin lớp học'!$I$10:$I$49&lt;=$A14+0.000001)*('Thông tin lớp học'!$J$10:$J$49&gt;$A14+0.000001))&gt;1,"⚠ Trùng lịch",INDEX('Thông tin lớp học'!$G$10:$G$49,SUMPRODUCT(('Thông tin lớp học'!$H$10:$H$49=G$4)*('Thông tin lớp học'!$I$10:$I$49&lt;=$A14+0.000001)*('Thông tin lớp học'!$J$10:$J$49&gt;$A14+0.000001)*(ROW('Thông tin lớp học'!$H$10:$H$49)-9)))&amp;" ("&amp;INDEX('Thông tin lớp học'!$K$10:$K$49,SUMPRODUCT(('Thông tin lớp học'!$H$10:$H$49=G$4)*('Thông tin lớp học'!$I$10:$I$49&lt;=$A14+0.000001)*('Thông tin lớp học'!$J$10:$J$49&gt;$A14+0.000001)*(ROW('Thông tin lớp học'!$H$10:$H$49)-9)))&amp;")"))</f>
        <v/>
      </c>
      <c r="H14" s="123" t="str">
        <f t="array" ref="H14">IF(SUMPRODUCT(('Thông tin lớp học'!$H$10:$H$49=H$4)*('Thông tin lớp học'!$I$10:$I$49&lt;=$A14+0.000001)*('Thông tin lớp học'!$J$10:$J$49&gt;$A14+0.000001))=0,"",IF(SUMPRODUCT(('Thông tin lớp học'!$H$10:$H$49=H$4)*('Thông tin lớp học'!$I$10:$I$49&lt;=$A14+0.000001)*('Thông tin lớp học'!$J$10:$J$49&gt;$A14+0.000001))&gt;1,"⚠ Trùng lịch",INDEX('Thông tin lớp học'!$G$10:$G$49,SUMPRODUCT(('Thông tin lớp học'!$H$10:$H$49=H$4)*('Thông tin lớp học'!$I$10:$I$49&lt;=$A14+0.000001)*('Thông tin lớp học'!$J$10:$J$49&gt;$A14+0.000001)*(ROW('Thông tin lớp học'!$H$10:$H$49)-9)))&amp;" ("&amp;INDEX('Thông tin lớp học'!$K$10:$K$49,SUMPRODUCT(('Thông tin lớp học'!$H$10:$H$49=H$4)*('Thông tin lớp học'!$I$10:$I$49&lt;=$A14+0.000001)*('Thông tin lớp học'!$J$10:$J$49&gt;$A14+0.000001)*(ROW('Thông tin lớp học'!$H$10:$H$49)-9)))&amp;")"))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6">
        <v>0.458333333333333</v>
      </c>
      <c r="B15" s="123" t="str">
        <f t="array" ref="B15">IF(SUMPRODUCT(('Thông tin lớp học'!$H$10:$H$49=B$4)*('Thông tin lớp học'!$I$10:$I$49&lt;=$A15+0.000001)*('Thông tin lớp học'!$J$10:$J$49&gt;$A15+0.000001))=0,"",IF(SUMPRODUCT(('Thông tin lớp học'!$H$10:$H$49=B$4)*('Thông tin lớp học'!$I$10:$I$49&lt;=$A15+0.000001)*('Thông tin lớp học'!$J$10:$J$49&gt;$A15+0.000001))&gt;1,"⚠ Trùng lịch",INDEX('Thông tin lớp học'!$G$10:$G$49,SUMPRODUCT(('Thông tin lớp học'!$H$10:$H$49=B$4)*('Thông tin lớp học'!$I$10:$I$49&lt;=$A15+0.000001)*('Thông tin lớp học'!$J$10:$J$49&gt;$A15+0.000001)*(ROW('Thông tin lớp học'!$H$10:$H$49)-9)))&amp;" ("&amp;INDEX('Thông tin lớp học'!$K$10:$K$49,SUMPRODUCT(('Thông tin lớp học'!$H$10:$H$49=B$4)*('Thông tin lớp học'!$I$10:$I$49&lt;=$A15+0.000001)*('Thông tin lớp học'!$J$10:$J$49&gt;$A15+0.000001)*(ROW('Thông tin lớp học'!$H$10:$H$49)-9)))&amp;")"))</f>
        <v/>
      </c>
      <c r="C15" s="123" t="str">
        <f t="array" ref="C15">IF(SUMPRODUCT(('Thông tin lớp học'!$H$10:$H$49=C$4)*('Thông tin lớp học'!$I$10:$I$49&lt;=$A15+0.000001)*('Thông tin lớp học'!$J$10:$J$49&gt;$A15+0.000001))=0,"",IF(SUMPRODUCT(('Thông tin lớp học'!$H$10:$H$49=C$4)*('Thông tin lớp học'!$I$10:$I$49&lt;=$A15+0.000001)*('Thông tin lớp học'!$J$10:$J$49&gt;$A15+0.000001))&gt;1,"⚠ Trùng lịch",INDEX('Thông tin lớp học'!$G$10:$G$49,SUMPRODUCT(('Thông tin lớp học'!$H$10:$H$49=C$4)*('Thông tin lớp học'!$I$10:$I$49&lt;=$A15+0.000001)*('Thông tin lớp học'!$J$10:$J$49&gt;$A15+0.000001)*(ROW('Thông tin lớp học'!$H$10:$H$49)-9)))&amp;" ("&amp;INDEX('Thông tin lớp học'!$K$10:$K$49,SUMPRODUCT(('Thông tin lớp học'!$H$10:$H$49=C$4)*('Thông tin lớp học'!$I$10:$I$49&lt;=$A15+0.000001)*('Thông tin lớp học'!$J$10:$J$49&gt;$A15+0.000001)*(ROW('Thông tin lớp học'!$H$10:$H$49)-9)))&amp;")"))</f>
        <v/>
      </c>
      <c r="D15" s="123" t="str">
        <f t="array" ref="D15">IF(SUMPRODUCT(('Thông tin lớp học'!$H$10:$H$49=D$4)*('Thông tin lớp học'!$I$10:$I$49&lt;=$A15+0.000001)*('Thông tin lớp học'!$J$10:$J$49&gt;$A15+0.000001))=0,"",IF(SUMPRODUCT(('Thông tin lớp học'!$H$10:$H$49=D$4)*('Thông tin lớp học'!$I$10:$I$49&lt;=$A15+0.000001)*('Thông tin lớp học'!$J$10:$J$49&gt;$A15+0.000001))&gt;1,"⚠ Trùng lịch",INDEX('Thông tin lớp học'!$G$10:$G$49,SUMPRODUCT(('Thông tin lớp học'!$H$10:$H$49=D$4)*('Thông tin lớp học'!$I$10:$I$49&lt;=$A15+0.000001)*('Thông tin lớp học'!$J$10:$J$49&gt;$A15+0.000001)*(ROW('Thông tin lớp học'!$H$10:$H$49)-9)))&amp;" ("&amp;INDEX('Thông tin lớp học'!$K$10:$K$49,SUMPRODUCT(('Thông tin lớp học'!$H$10:$H$49=D$4)*('Thông tin lớp học'!$I$10:$I$49&lt;=$A15+0.000001)*('Thông tin lớp học'!$J$10:$J$49&gt;$A15+0.000001)*(ROW('Thông tin lớp học'!$H$10:$H$49)-9)))&amp;")"))</f>
        <v/>
      </c>
      <c r="E15" s="123" t="str">
        <f t="array" ref="E15">IF(SUMPRODUCT(('Thông tin lớp học'!$H$10:$H$49=E$4)*('Thông tin lớp học'!$I$10:$I$49&lt;=$A15+0.000001)*('Thông tin lớp học'!$J$10:$J$49&gt;$A15+0.000001))=0,"",IF(SUMPRODUCT(('Thông tin lớp học'!$H$10:$H$49=E$4)*('Thông tin lớp học'!$I$10:$I$49&lt;=$A15+0.000001)*('Thông tin lớp học'!$J$10:$J$49&gt;$A15+0.000001))&gt;1,"⚠ Trùng lịch",INDEX('Thông tin lớp học'!$G$10:$G$49,SUMPRODUCT(('Thông tin lớp học'!$H$10:$H$49=E$4)*('Thông tin lớp học'!$I$10:$I$49&lt;=$A15+0.000001)*('Thông tin lớp học'!$J$10:$J$49&gt;$A15+0.000001)*(ROW('Thông tin lớp học'!$H$10:$H$49)-9)))&amp;" ("&amp;INDEX('Thông tin lớp học'!$K$10:$K$49,SUMPRODUCT(('Thông tin lớp học'!$H$10:$H$49=E$4)*('Thông tin lớp học'!$I$10:$I$49&lt;=$A15+0.000001)*('Thông tin lớp học'!$J$10:$J$49&gt;$A15+0.000001)*(ROW('Thông tin lớp học'!$H$10:$H$49)-9)))&amp;")"))</f>
        <v/>
      </c>
      <c r="F15" s="123" t="str">
        <f t="array" ref="F15">IF(SUMPRODUCT(('Thông tin lớp học'!$H$10:$H$49=F$4)*('Thông tin lớp học'!$I$10:$I$49&lt;=$A15+0.000001)*('Thông tin lớp học'!$J$10:$J$49&gt;$A15+0.000001))=0,"",IF(SUMPRODUCT(('Thông tin lớp học'!$H$10:$H$49=F$4)*('Thông tin lớp học'!$I$10:$I$49&lt;=$A15+0.000001)*('Thông tin lớp học'!$J$10:$J$49&gt;$A15+0.000001))&gt;1,"⚠ Trùng lịch",INDEX('Thông tin lớp học'!$G$10:$G$49,SUMPRODUCT(('Thông tin lớp học'!$H$10:$H$49=F$4)*('Thông tin lớp học'!$I$10:$I$49&lt;=$A15+0.000001)*('Thông tin lớp học'!$J$10:$J$49&gt;$A15+0.000001)*(ROW('Thông tin lớp học'!$H$10:$H$49)-9)))&amp;" ("&amp;INDEX('Thông tin lớp học'!$K$10:$K$49,SUMPRODUCT(('Thông tin lớp học'!$H$10:$H$49=F$4)*('Thông tin lớp học'!$I$10:$I$49&lt;=$A15+0.000001)*('Thông tin lớp học'!$J$10:$J$49&gt;$A15+0.000001)*(ROW('Thông tin lớp học'!$H$10:$H$49)-9)))&amp;")"))</f>
        <v/>
      </c>
      <c r="G15" s="123" t="str">
        <f t="array" ref="G15">IF(SUMPRODUCT(('Thông tin lớp học'!$H$10:$H$49=G$4)*('Thông tin lớp học'!$I$10:$I$49&lt;=$A15+0.000001)*('Thông tin lớp học'!$J$10:$J$49&gt;$A15+0.000001))=0,"",IF(SUMPRODUCT(('Thông tin lớp học'!$H$10:$H$49=G$4)*('Thông tin lớp học'!$I$10:$I$49&lt;=$A15+0.000001)*('Thông tin lớp học'!$J$10:$J$49&gt;$A15+0.000001))&gt;1,"⚠ Trùng lịch",INDEX('Thông tin lớp học'!$G$10:$G$49,SUMPRODUCT(('Thông tin lớp học'!$H$10:$H$49=G$4)*('Thông tin lớp học'!$I$10:$I$49&lt;=$A15+0.000001)*('Thông tin lớp học'!$J$10:$J$49&gt;$A15+0.000001)*(ROW('Thông tin lớp học'!$H$10:$H$49)-9)))&amp;" ("&amp;INDEX('Thông tin lớp học'!$K$10:$K$49,SUMPRODUCT(('Thông tin lớp học'!$H$10:$H$49=G$4)*('Thông tin lớp học'!$I$10:$I$49&lt;=$A15+0.000001)*('Thông tin lớp học'!$J$10:$J$49&gt;$A15+0.000001)*(ROW('Thông tin lớp học'!$H$10:$H$49)-9)))&amp;")"))</f>
        <v/>
      </c>
      <c r="H15" s="123" t="str">
        <f t="array" ref="H15">IF(SUMPRODUCT(('Thông tin lớp học'!$H$10:$H$49=H$4)*('Thông tin lớp học'!$I$10:$I$49&lt;=$A15+0.000001)*('Thông tin lớp học'!$J$10:$J$49&gt;$A15+0.000001))=0,"",IF(SUMPRODUCT(('Thông tin lớp học'!$H$10:$H$49=H$4)*('Thông tin lớp học'!$I$10:$I$49&lt;=$A15+0.000001)*('Thông tin lớp học'!$J$10:$J$49&gt;$A15+0.000001))&gt;1,"⚠ Trùng lịch",INDEX('Thông tin lớp học'!$G$10:$G$49,SUMPRODUCT(('Thông tin lớp học'!$H$10:$H$49=H$4)*('Thông tin lớp học'!$I$10:$I$49&lt;=$A15+0.000001)*('Thông tin lớp học'!$J$10:$J$49&gt;$A15+0.000001)*(ROW('Thông tin lớp học'!$H$10:$H$49)-9)))&amp;" ("&amp;INDEX('Thông tin lớp học'!$K$10:$K$49,SUMPRODUCT(('Thông tin lớp học'!$H$10:$H$49=H$4)*('Thông tin lớp học'!$I$10:$I$49&lt;=$A15+0.000001)*('Thông tin lớp học'!$J$10:$J$49&gt;$A15+0.000001)*(ROW('Thông tin lớp học'!$H$10:$H$49)-9)))&amp;")"))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6">
        <v>0.479166666666667</v>
      </c>
      <c r="B16" s="123" t="str">
        <f t="array" ref="B16">IF(SUMPRODUCT(('Thông tin lớp học'!$H$10:$H$49=B$4)*('Thông tin lớp học'!$I$10:$I$49&lt;=$A16+0.000001)*('Thông tin lớp học'!$J$10:$J$49&gt;$A16+0.000001))=0,"",IF(SUMPRODUCT(('Thông tin lớp học'!$H$10:$H$49=B$4)*('Thông tin lớp học'!$I$10:$I$49&lt;=$A16+0.000001)*('Thông tin lớp học'!$J$10:$J$49&gt;$A16+0.000001))&gt;1,"⚠ Trùng lịch",INDEX('Thông tin lớp học'!$G$10:$G$49,SUMPRODUCT(('Thông tin lớp học'!$H$10:$H$49=B$4)*('Thông tin lớp học'!$I$10:$I$49&lt;=$A16+0.000001)*('Thông tin lớp học'!$J$10:$J$49&gt;$A16+0.000001)*(ROW('Thông tin lớp học'!$H$10:$H$49)-9)))&amp;" ("&amp;INDEX('Thông tin lớp học'!$K$10:$K$49,SUMPRODUCT(('Thông tin lớp học'!$H$10:$H$49=B$4)*('Thông tin lớp học'!$I$10:$I$49&lt;=$A16+0.000001)*('Thông tin lớp học'!$J$10:$J$49&gt;$A16+0.000001)*(ROW('Thông tin lớp học'!$H$10:$H$49)-9)))&amp;")"))</f>
        <v/>
      </c>
      <c r="C16" s="123" t="str">
        <f t="array" ref="C16">IF(SUMPRODUCT(('Thông tin lớp học'!$H$10:$H$49=C$4)*('Thông tin lớp học'!$I$10:$I$49&lt;=$A16+0.000001)*('Thông tin lớp học'!$J$10:$J$49&gt;$A16+0.000001))=0,"",IF(SUMPRODUCT(('Thông tin lớp học'!$H$10:$H$49=C$4)*('Thông tin lớp học'!$I$10:$I$49&lt;=$A16+0.000001)*('Thông tin lớp học'!$J$10:$J$49&gt;$A16+0.000001))&gt;1,"⚠ Trùng lịch",INDEX('Thông tin lớp học'!$G$10:$G$49,SUMPRODUCT(('Thông tin lớp học'!$H$10:$H$49=C$4)*('Thông tin lớp học'!$I$10:$I$49&lt;=$A16+0.000001)*('Thông tin lớp học'!$J$10:$J$49&gt;$A16+0.000001)*(ROW('Thông tin lớp học'!$H$10:$H$49)-9)))&amp;" ("&amp;INDEX('Thông tin lớp học'!$K$10:$K$49,SUMPRODUCT(('Thông tin lớp học'!$H$10:$H$49=C$4)*('Thông tin lớp học'!$I$10:$I$49&lt;=$A16+0.000001)*('Thông tin lớp học'!$J$10:$J$49&gt;$A16+0.000001)*(ROW('Thông tin lớp học'!$H$10:$H$49)-9)))&amp;")"))</f>
        <v/>
      </c>
      <c r="D16" s="123" t="str">
        <f t="array" ref="D16">IF(SUMPRODUCT(('Thông tin lớp học'!$H$10:$H$49=D$4)*('Thông tin lớp học'!$I$10:$I$49&lt;=$A16+0.000001)*('Thông tin lớp học'!$J$10:$J$49&gt;$A16+0.000001))=0,"",IF(SUMPRODUCT(('Thông tin lớp học'!$H$10:$H$49=D$4)*('Thông tin lớp học'!$I$10:$I$49&lt;=$A16+0.000001)*('Thông tin lớp học'!$J$10:$J$49&gt;$A16+0.000001))&gt;1,"⚠ Trùng lịch",INDEX('Thông tin lớp học'!$G$10:$G$49,SUMPRODUCT(('Thông tin lớp học'!$H$10:$H$49=D$4)*('Thông tin lớp học'!$I$10:$I$49&lt;=$A16+0.000001)*('Thông tin lớp học'!$J$10:$J$49&gt;$A16+0.000001)*(ROW('Thông tin lớp học'!$H$10:$H$49)-9)))&amp;" ("&amp;INDEX('Thông tin lớp học'!$K$10:$K$49,SUMPRODUCT(('Thông tin lớp học'!$H$10:$H$49=D$4)*('Thông tin lớp học'!$I$10:$I$49&lt;=$A16+0.000001)*('Thông tin lớp học'!$J$10:$J$49&gt;$A16+0.000001)*(ROW('Thông tin lớp học'!$H$10:$H$49)-9)))&amp;")"))</f>
        <v/>
      </c>
      <c r="E16" s="123" t="str">
        <f t="array" ref="E16">IF(SUMPRODUCT(('Thông tin lớp học'!$H$10:$H$49=E$4)*('Thông tin lớp học'!$I$10:$I$49&lt;=$A16+0.000001)*('Thông tin lớp học'!$J$10:$J$49&gt;$A16+0.000001))=0,"",IF(SUMPRODUCT(('Thông tin lớp học'!$H$10:$H$49=E$4)*('Thông tin lớp học'!$I$10:$I$49&lt;=$A16+0.000001)*('Thông tin lớp học'!$J$10:$J$49&gt;$A16+0.000001))&gt;1,"⚠ Trùng lịch",INDEX('Thông tin lớp học'!$G$10:$G$49,SUMPRODUCT(('Thông tin lớp học'!$H$10:$H$49=E$4)*('Thông tin lớp học'!$I$10:$I$49&lt;=$A16+0.000001)*('Thông tin lớp học'!$J$10:$J$49&gt;$A16+0.000001)*(ROW('Thông tin lớp học'!$H$10:$H$49)-9)))&amp;" ("&amp;INDEX('Thông tin lớp học'!$K$10:$K$49,SUMPRODUCT(('Thông tin lớp học'!$H$10:$H$49=E$4)*('Thông tin lớp học'!$I$10:$I$49&lt;=$A16+0.000001)*('Thông tin lớp học'!$J$10:$J$49&gt;$A16+0.000001)*(ROW('Thông tin lớp học'!$H$10:$H$49)-9)))&amp;")"))</f>
        <v/>
      </c>
      <c r="F16" s="123" t="str">
        <f t="array" ref="F16">IF(SUMPRODUCT(('Thông tin lớp học'!$H$10:$H$49=F$4)*('Thông tin lớp học'!$I$10:$I$49&lt;=$A16+0.000001)*('Thông tin lớp học'!$J$10:$J$49&gt;$A16+0.000001))=0,"",IF(SUMPRODUCT(('Thông tin lớp học'!$H$10:$H$49=F$4)*('Thông tin lớp học'!$I$10:$I$49&lt;=$A16+0.000001)*('Thông tin lớp học'!$J$10:$J$49&gt;$A16+0.000001))&gt;1,"⚠ Trùng lịch",INDEX('Thông tin lớp học'!$G$10:$G$49,SUMPRODUCT(('Thông tin lớp học'!$H$10:$H$49=F$4)*('Thông tin lớp học'!$I$10:$I$49&lt;=$A16+0.000001)*('Thông tin lớp học'!$J$10:$J$49&gt;$A16+0.000001)*(ROW('Thông tin lớp học'!$H$10:$H$49)-9)))&amp;" ("&amp;INDEX('Thông tin lớp học'!$K$10:$K$49,SUMPRODUCT(('Thông tin lớp học'!$H$10:$H$49=F$4)*('Thông tin lớp học'!$I$10:$I$49&lt;=$A16+0.000001)*('Thông tin lớp học'!$J$10:$J$49&gt;$A16+0.000001)*(ROW('Thông tin lớp học'!$H$10:$H$49)-9)))&amp;")"))</f>
        <v/>
      </c>
      <c r="G16" s="123" t="str">
        <f t="array" ref="G16">IF(SUMPRODUCT(('Thông tin lớp học'!$H$10:$H$49=G$4)*('Thông tin lớp học'!$I$10:$I$49&lt;=$A16+0.000001)*('Thông tin lớp học'!$J$10:$J$49&gt;$A16+0.000001))=0,"",IF(SUMPRODUCT(('Thông tin lớp học'!$H$10:$H$49=G$4)*('Thông tin lớp học'!$I$10:$I$49&lt;=$A16+0.000001)*('Thông tin lớp học'!$J$10:$J$49&gt;$A16+0.000001))&gt;1,"⚠ Trùng lịch",INDEX('Thông tin lớp học'!$G$10:$G$49,SUMPRODUCT(('Thông tin lớp học'!$H$10:$H$49=G$4)*('Thông tin lớp học'!$I$10:$I$49&lt;=$A16+0.000001)*('Thông tin lớp học'!$J$10:$J$49&gt;$A16+0.000001)*(ROW('Thông tin lớp học'!$H$10:$H$49)-9)))&amp;" ("&amp;INDEX('Thông tin lớp học'!$K$10:$K$49,SUMPRODUCT(('Thông tin lớp học'!$H$10:$H$49=G$4)*('Thông tin lớp học'!$I$10:$I$49&lt;=$A16+0.000001)*('Thông tin lớp học'!$J$10:$J$49&gt;$A16+0.000001)*(ROW('Thông tin lớp học'!$H$10:$H$49)-9)))&amp;")"))</f>
        <v/>
      </c>
      <c r="H16" s="123" t="str">
        <f t="array" ref="H16">IF(SUMPRODUCT(('Thông tin lớp học'!$H$10:$H$49=H$4)*('Thông tin lớp học'!$I$10:$I$49&lt;=$A16+0.000001)*('Thông tin lớp học'!$J$10:$J$49&gt;$A16+0.000001))=0,"",IF(SUMPRODUCT(('Thông tin lớp học'!$H$10:$H$49=H$4)*('Thông tin lớp học'!$I$10:$I$49&lt;=$A16+0.000001)*('Thông tin lớp học'!$J$10:$J$49&gt;$A16+0.000001))&gt;1,"⚠ Trùng lịch",INDEX('Thông tin lớp học'!$G$10:$G$49,SUMPRODUCT(('Thông tin lớp học'!$H$10:$H$49=H$4)*('Thông tin lớp học'!$I$10:$I$49&lt;=$A16+0.000001)*('Thông tin lớp học'!$J$10:$J$49&gt;$A16+0.000001)*(ROW('Thông tin lớp học'!$H$10:$H$49)-9)))&amp;" ("&amp;INDEX('Thông tin lớp học'!$K$10:$K$49,SUMPRODUCT(('Thông tin lớp học'!$H$10:$H$49=H$4)*('Thông tin lớp học'!$I$10:$I$49&lt;=$A16+0.000001)*('Thông tin lớp học'!$J$10:$J$49&gt;$A16+0.000001)*(ROW('Thông tin lớp học'!$H$10:$H$49)-9)))&amp;")"))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6">
        <v>0.5</v>
      </c>
      <c r="B17" s="123" t="str">
        <f t="array" ref="B17">IF(SUMPRODUCT(('Thông tin lớp học'!$H$10:$H$49=B$4)*('Thông tin lớp học'!$I$10:$I$49&lt;=$A17+0.000001)*('Thông tin lớp học'!$J$10:$J$49&gt;$A17+0.000001))=0,"",IF(SUMPRODUCT(('Thông tin lớp học'!$H$10:$H$49=B$4)*('Thông tin lớp học'!$I$10:$I$49&lt;=$A17+0.000001)*('Thông tin lớp học'!$J$10:$J$49&gt;$A17+0.000001))&gt;1,"⚠ Trùng lịch",INDEX('Thông tin lớp học'!$G$10:$G$49,SUMPRODUCT(('Thông tin lớp học'!$H$10:$H$49=B$4)*('Thông tin lớp học'!$I$10:$I$49&lt;=$A17+0.000001)*('Thông tin lớp học'!$J$10:$J$49&gt;$A17+0.000001)*(ROW('Thông tin lớp học'!$H$10:$H$49)-9)))&amp;" ("&amp;INDEX('Thông tin lớp học'!$K$10:$K$49,SUMPRODUCT(('Thông tin lớp học'!$H$10:$H$49=B$4)*('Thông tin lớp học'!$I$10:$I$49&lt;=$A17+0.000001)*('Thông tin lớp học'!$J$10:$J$49&gt;$A17+0.000001)*(ROW('Thông tin lớp học'!$H$10:$H$49)-9)))&amp;")"))</f>
        <v/>
      </c>
      <c r="C17" s="123" t="str">
        <f t="array" ref="C17">IF(SUMPRODUCT(('Thông tin lớp học'!$H$10:$H$49=C$4)*('Thông tin lớp học'!$I$10:$I$49&lt;=$A17+0.000001)*('Thông tin lớp học'!$J$10:$J$49&gt;$A17+0.000001))=0,"",IF(SUMPRODUCT(('Thông tin lớp học'!$H$10:$H$49=C$4)*('Thông tin lớp học'!$I$10:$I$49&lt;=$A17+0.000001)*('Thông tin lớp học'!$J$10:$J$49&gt;$A17+0.000001))&gt;1,"⚠ Trùng lịch",INDEX('Thông tin lớp học'!$G$10:$G$49,SUMPRODUCT(('Thông tin lớp học'!$H$10:$H$49=C$4)*('Thông tin lớp học'!$I$10:$I$49&lt;=$A17+0.000001)*('Thông tin lớp học'!$J$10:$J$49&gt;$A17+0.000001)*(ROW('Thông tin lớp học'!$H$10:$H$49)-9)))&amp;" ("&amp;INDEX('Thông tin lớp học'!$K$10:$K$49,SUMPRODUCT(('Thông tin lớp học'!$H$10:$H$49=C$4)*('Thông tin lớp học'!$I$10:$I$49&lt;=$A17+0.000001)*('Thông tin lớp học'!$J$10:$J$49&gt;$A17+0.000001)*(ROW('Thông tin lớp học'!$H$10:$H$49)-9)))&amp;")"))</f>
        <v/>
      </c>
      <c r="D17" s="123" t="str">
        <f t="array" ref="D17">IF(SUMPRODUCT(('Thông tin lớp học'!$H$10:$H$49=D$4)*('Thông tin lớp học'!$I$10:$I$49&lt;=$A17+0.000001)*('Thông tin lớp học'!$J$10:$J$49&gt;$A17+0.000001))=0,"",IF(SUMPRODUCT(('Thông tin lớp học'!$H$10:$H$49=D$4)*('Thông tin lớp học'!$I$10:$I$49&lt;=$A17+0.000001)*('Thông tin lớp học'!$J$10:$J$49&gt;$A17+0.000001))&gt;1,"⚠ Trùng lịch",INDEX('Thông tin lớp học'!$G$10:$G$49,SUMPRODUCT(('Thông tin lớp học'!$H$10:$H$49=D$4)*('Thông tin lớp học'!$I$10:$I$49&lt;=$A17+0.000001)*('Thông tin lớp học'!$J$10:$J$49&gt;$A17+0.000001)*(ROW('Thông tin lớp học'!$H$10:$H$49)-9)))&amp;" ("&amp;INDEX('Thông tin lớp học'!$K$10:$K$49,SUMPRODUCT(('Thông tin lớp học'!$H$10:$H$49=D$4)*('Thông tin lớp học'!$I$10:$I$49&lt;=$A17+0.000001)*('Thông tin lớp học'!$J$10:$J$49&gt;$A17+0.000001)*(ROW('Thông tin lớp học'!$H$10:$H$49)-9)))&amp;")"))</f>
        <v/>
      </c>
      <c r="E17" s="123" t="str">
        <f t="array" ref="E17">IF(SUMPRODUCT(('Thông tin lớp học'!$H$10:$H$49=E$4)*('Thông tin lớp học'!$I$10:$I$49&lt;=$A17+0.000001)*('Thông tin lớp học'!$J$10:$J$49&gt;$A17+0.000001))=0,"",IF(SUMPRODUCT(('Thông tin lớp học'!$H$10:$H$49=E$4)*('Thông tin lớp học'!$I$10:$I$49&lt;=$A17+0.000001)*('Thông tin lớp học'!$J$10:$J$49&gt;$A17+0.000001))&gt;1,"⚠ Trùng lịch",INDEX('Thông tin lớp học'!$G$10:$G$49,SUMPRODUCT(('Thông tin lớp học'!$H$10:$H$49=E$4)*('Thông tin lớp học'!$I$10:$I$49&lt;=$A17+0.000001)*('Thông tin lớp học'!$J$10:$J$49&gt;$A17+0.000001)*(ROW('Thông tin lớp học'!$H$10:$H$49)-9)))&amp;" ("&amp;INDEX('Thông tin lớp học'!$K$10:$K$49,SUMPRODUCT(('Thông tin lớp học'!$H$10:$H$49=E$4)*('Thông tin lớp học'!$I$10:$I$49&lt;=$A17+0.000001)*('Thông tin lớp học'!$J$10:$J$49&gt;$A17+0.000001)*(ROW('Thông tin lớp học'!$H$10:$H$49)-9)))&amp;")"))</f>
        <v/>
      </c>
      <c r="F17" s="123" t="str">
        <f t="array" ref="F17">IF(SUMPRODUCT(('Thông tin lớp học'!$H$10:$H$49=F$4)*('Thông tin lớp học'!$I$10:$I$49&lt;=$A17+0.000001)*('Thông tin lớp học'!$J$10:$J$49&gt;$A17+0.000001))=0,"",IF(SUMPRODUCT(('Thông tin lớp học'!$H$10:$H$49=F$4)*('Thông tin lớp học'!$I$10:$I$49&lt;=$A17+0.000001)*('Thông tin lớp học'!$J$10:$J$49&gt;$A17+0.000001))&gt;1,"⚠ Trùng lịch",INDEX('Thông tin lớp học'!$G$10:$G$49,SUMPRODUCT(('Thông tin lớp học'!$H$10:$H$49=F$4)*('Thông tin lớp học'!$I$10:$I$49&lt;=$A17+0.000001)*('Thông tin lớp học'!$J$10:$J$49&gt;$A17+0.000001)*(ROW('Thông tin lớp học'!$H$10:$H$49)-9)))&amp;" ("&amp;INDEX('Thông tin lớp học'!$K$10:$K$49,SUMPRODUCT(('Thông tin lớp học'!$H$10:$H$49=F$4)*('Thông tin lớp học'!$I$10:$I$49&lt;=$A17+0.000001)*('Thông tin lớp học'!$J$10:$J$49&gt;$A17+0.000001)*(ROW('Thông tin lớp học'!$H$10:$H$49)-9)))&amp;")"))</f>
        <v/>
      </c>
      <c r="G17" s="123" t="str">
        <f t="array" ref="G17">IF(SUMPRODUCT(('Thông tin lớp học'!$H$10:$H$49=G$4)*('Thông tin lớp học'!$I$10:$I$49&lt;=$A17+0.000001)*('Thông tin lớp học'!$J$10:$J$49&gt;$A17+0.000001))=0,"",IF(SUMPRODUCT(('Thông tin lớp học'!$H$10:$H$49=G$4)*('Thông tin lớp học'!$I$10:$I$49&lt;=$A17+0.000001)*('Thông tin lớp học'!$J$10:$J$49&gt;$A17+0.000001))&gt;1,"⚠ Trùng lịch",INDEX('Thông tin lớp học'!$G$10:$G$49,SUMPRODUCT(('Thông tin lớp học'!$H$10:$H$49=G$4)*('Thông tin lớp học'!$I$10:$I$49&lt;=$A17+0.000001)*('Thông tin lớp học'!$J$10:$J$49&gt;$A17+0.000001)*(ROW('Thông tin lớp học'!$H$10:$H$49)-9)))&amp;" ("&amp;INDEX('Thông tin lớp học'!$K$10:$K$49,SUMPRODUCT(('Thông tin lớp học'!$H$10:$H$49=G$4)*('Thông tin lớp học'!$I$10:$I$49&lt;=$A17+0.000001)*('Thông tin lớp học'!$J$10:$J$49&gt;$A17+0.000001)*(ROW('Thông tin lớp học'!$H$10:$H$49)-9)))&amp;")"))</f>
        <v/>
      </c>
      <c r="H17" s="123" t="str">
        <f t="array" ref="H17">IF(SUMPRODUCT(('Thông tin lớp học'!$H$10:$H$49=H$4)*('Thông tin lớp học'!$I$10:$I$49&lt;=$A17+0.000001)*('Thông tin lớp học'!$J$10:$J$49&gt;$A17+0.000001))=0,"",IF(SUMPRODUCT(('Thông tin lớp học'!$H$10:$H$49=H$4)*('Thông tin lớp học'!$I$10:$I$49&lt;=$A17+0.000001)*('Thông tin lớp học'!$J$10:$J$49&gt;$A17+0.000001))&gt;1,"⚠ Trùng lịch",INDEX('Thông tin lớp học'!$G$10:$G$49,SUMPRODUCT(('Thông tin lớp học'!$H$10:$H$49=H$4)*('Thông tin lớp học'!$I$10:$I$49&lt;=$A17+0.000001)*('Thông tin lớp học'!$J$10:$J$49&gt;$A17+0.000001)*(ROW('Thông tin lớp học'!$H$10:$H$49)-9)))&amp;" ("&amp;INDEX('Thông tin lớp học'!$K$10:$K$49,SUMPRODUCT(('Thông tin lớp học'!$H$10:$H$49=H$4)*('Thông tin lớp học'!$I$10:$I$49&lt;=$A17+0.000001)*('Thông tin lớp học'!$J$10:$J$49&gt;$A17+0.000001)*(ROW('Thông tin lớp học'!$H$10:$H$49)-9)))&amp;")"))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6">
        <v>0.520833333333333</v>
      </c>
      <c r="B18" s="123" t="str">
        <f t="array" ref="B18">IF(SUMPRODUCT(('Thông tin lớp học'!$H$10:$H$49=B$4)*('Thông tin lớp học'!$I$10:$I$49&lt;=$A18+0.000001)*('Thông tin lớp học'!$J$10:$J$49&gt;$A18+0.000001))=0,"",IF(SUMPRODUCT(('Thông tin lớp học'!$H$10:$H$49=B$4)*('Thông tin lớp học'!$I$10:$I$49&lt;=$A18+0.000001)*('Thông tin lớp học'!$J$10:$J$49&gt;$A18+0.000001))&gt;1,"⚠ Trùng lịch",INDEX('Thông tin lớp học'!$G$10:$G$49,SUMPRODUCT(('Thông tin lớp học'!$H$10:$H$49=B$4)*('Thông tin lớp học'!$I$10:$I$49&lt;=$A18+0.000001)*('Thông tin lớp học'!$J$10:$J$49&gt;$A18+0.000001)*(ROW('Thông tin lớp học'!$H$10:$H$49)-9)))&amp;" ("&amp;INDEX('Thông tin lớp học'!$K$10:$K$49,SUMPRODUCT(('Thông tin lớp học'!$H$10:$H$49=B$4)*('Thông tin lớp học'!$I$10:$I$49&lt;=$A18+0.000001)*('Thông tin lớp học'!$J$10:$J$49&gt;$A18+0.000001)*(ROW('Thông tin lớp học'!$H$10:$H$49)-9)))&amp;")"))</f>
        <v/>
      </c>
      <c r="C18" s="123" t="str">
        <f t="array" ref="C18">IF(SUMPRODUCT(('Thông tin lớp học'!$H$10:$H$49=C$4)*('Thông tin lớp học'!$I$10:$I$49&lt;=$A18+0.000001)*('Thông tin lớp học'!$J$10:$J$49&gt;$A18+0.000001))=0,"",IF(SUMPRODUCT(('Thông tin lớp học'!$H$10:$H$49=C$4)*('Thông tin lớp học'!$I$10:$I$49&lt;=$A18+0.000001)*('Thông tin lớp học'!$J$10:$J$49&gt;$A18+0.000001))&gt;1,"⚠ Trùng lịch",INDEX('Thông tin lớp học'!$G$10:$G$49,SUMPRODUCT(('Thông tin lớp học'!$H$10:$H$49=C$4)*('Thông tin lớp học'!$I$10:$I$49&lt;=$A18+0.000001)*('Thông tin lớp học'!$J$10:$J$49&gt;$A18+0.000001)*(ROW('Thông tin lớp học'!$H$10:$H$49)-9)))&amp;" ("&amp;INDEX('Thông tin lớp học'!$K$10:$K$49,SUMPRODUCT(('Thông tin lớp học'!$H$10:$H$49=C$4)*('Thông tin lớp học'!$I$10:$I$49&lt;=$A18+0.000001)*('Thông tin lớp học'!$J$10:$J$49&gt;$A18+0.000001)*(ROW('Thông tin lớp học'!$H$10:$H$49)-9)))&amp;")"))</f>
        <v/>
      </c>
      <c r="D18" s="123" t="str">
        <f t="array" ref="D18">IF(SUMPRODUCT(('Thông tin lớp học'!$H$10:$H$49=D$4)*('Thông tin lớp học'!$I$10:$I$49&lt;=$A18+0.000001)*('Thông tin lớp học'!$J$10:$J$49&gt;$A18+0.000001))=0,"",IF(SUMPRODUCT(('Thông tin lớp học'!$H$10:$H$49=D$4)*('Thông tin lớp học'!$I$10:$I$49&lt;=$A18+0.000001)*('Thông tin lớp học'!$J$10:$J$49&gt;$A18+0.000001))&gt;1,"⚠ Trùng lịch",INDEX('Thông tin lớp học'!$G$10:$G$49,SUMPRODUCT(('Thông tin lớp học'!$H$10:$H$49=D$4)*('Thông tin lớp học'!$I$10:$I$49&lt;=$A18+0.000001)*('Thông tin lớp học'!$J$10:$J$49&gt;$A18+0.000001)*(ROW('Thông tin lớp học'!$H$10:$H$49)-9)))&amp;" ("&amp;INDEX('Thông tin lớp học'!$K$10:$K$49,SUMPRODUCT(('Thông tin lớp học'!$H$10:$H$49=D$4)*('Thông tin lớp học'!$I$10:$I$49&lt;=$A18+0.000001)*('Thông tin lớp học'!$J$10:$J$49&gt;$A18+0.000001)*(ROW('Thông tin lớp học'!$H$10:$H$49)-9)))&amp;")"))</f>
        <v/>
      </c>
      <c r="E18" s="123" t="str">
        <f t="array" ref="E18">IF(SUMPRODUCT(('Thông tin lớp học'!$H$10:$H$49=E$4)*('Thông tin lớp học'!$I$10:$I$49&lt;=$A18+0.000001)*('Thông tin lớp học'!$J$10:$J$49&gt;$A18+0.000001))=0,"",IF(SUMPRODUCT(('Thông tin lớp học'!$H$10:$H$49=E$4)*('Thông tin lớp học'!$I$10:$I$49&lt;=$A18+0.000001)*('Thông tin lớp học'!$J$10:$J$49&gt;$A18+0.000001))&gt;1,"⚠ Trùng lịch",INDEX('Thông tin lớp học'!$G$10:$G$49,SUMPRODUCT(('Thông tin lớp học'!$H$10:$H$49=E$4)*('Thông tin lớp học'!$I$10:$I$49&lt;=$A18+0.000001)*('Thông tin lớp học'!$J$10:$J$49&gt;$A18+0.000001)*(ROW('Thông tin lớp học'!$H$10:$H$49)-9)))&amp;" ("&amp;INDEX('Thông tin lớp học'!$K$10:$K$49,SUMPRODUCT(('Thông tin lớp học'!$H$10:$H$49=E$4)*('Thông tin lớp học'!$I$10:$I$49&lt;=$A18+0.000001)*('Thông tin lớp học'!$J$10:$J$49&gt;$A18+0.000001)*(ROW('Thông tin lớp học'!$H$10:$H$49)-9)))&amp;")"))</f>
        <v/>
      </c>
      <c r="F18" s="123" t="str">
        <f t="array" ref="F18">IF(SUMPRODUCT(('Thông tin lớp học'!$H$10:$H$49=F$4)*('Thông tin lớp học'!$I$10:$I$49&lt;=$A18+0.000001)*('Thông tin lớp học'!$J$10:$J$49&gt;$A18+0.000001))=0,"",IF(SUMPRODUCT(('Thông tin lớp học'!$H$10:$H$49=F$4)*('Thông tin lớp học'!$I$10:$I$49&lt;=$A18+0.000001)*('Thông tin lớp học'!$J$10:$J$49&gt;$A18+0.000001))&gt;1,"⚠ Trùng lịch",INDEX('Thông tin lớp học'!$G$10:$G$49,SUMPRODUCT(('Thông tin lớp học'!$H$10:$H$49=F$4)*('Thông tin lớp học'!$I$10:$I$49&lt;=$A18+0.000001)*('Thông tin lớp học'!$J$10:$J$49&gt;$A18+0.000001)*(ROW('Thông tin lớp học'!$H$10:$H$49)-9)))&amp;" ("&amp;INDEX('Thông tin lớp học'!$K$10:$K$49,SUMPRODUCT(('Thông tin lớp học'!$H$10:$H$49=F$4)*('Thông tin lớp học'!$I$10:$I$49&lt;=$A18+0.000001)*('Thông tin lớp học'!$J$10:$J$49&gt;$A18+0.000001)*(ROW('Thông tin lớp học'!$H$10:$H$49)-9)))&amp;")"))</f>
        <v/>
      </c>
      <c r="G18" s="123" t="str">
        <f t="array" ref="G18">IF(SUMPRODUCT(('Thông tin lớp học'!$H$10:$H$49=G$4)*('Thông tin lớp học'!$I$10:$I$49&lt;=$A18+0.000001)*('Thông tin lớp học'!$J$10:$J$49&gt;$A18+0.000001))=0,"",IF(SUMPRODUCT(('Thông tin lớp học'!$H$10:$H$49=G$4)*('Thông tin lớp học'!$I$10:$I$49&lt;=$A18+0.000001)*('Thông tin lớp học'!$J$10:$J$49&gt;$A18+0.000001))&gt;1,"⚠ Trùng lịch",INDEX('Thông tin lớp học'!$G$10:$G$49,SUMPRODUCT(('Thông tin lớp học'!$H$10:$H$49=G$4)*('Thông tin lớp học'!$I$10:$I$49&lt;=$A18+0.000001)*('Thông tin lớp học'!$J$10:$J$49&gt;$A18+0.000001)*(ROW('Thông tin lớp học'!$H$10:$H$49)-9)))&amp;" ("&amp;INDEX('Thông tin lớp học'!$K$10:$K$49,SUMPRODUCT(('Thông tin lớp học'!$H$10:$H$49=G$4)*('Thông tin lớp học'!$I$10:$I$49&lt;=$A18+0.000001)*('Thông tin lớp học'!$J$10:$J$49&gt;$A18+0.000001)*(ROW('Thông tin lớp học'!$H$10:$H$49)-9)))&amp;")"))</f>
        <v/>
      </c>
      <c r="H18" s="123" t="str">
        <f t="array" ref="H18">IF(SUMPRODUCT(('Thông tin lớp học'!$H$10:$H$49=H$4)*('Thông tin lớp học'!$I$10:$I$49&lt;=$A18+0.000001)*('Thông tin lớp học'!$J$10:$J$49&gt;$A18+0.000001))=0,"",IF(SUMPRODUCT(('Thông tin lớp học'!$H$10:$H$49=H$4)*('Thông tin lớp học'!$I$10:$I$49&lt;=$A18+0.000001)*('Thông tin lớp học'!$J$10:$J$49&gt;$A18+0.000001))&gt;1,"⚠ Trùng lịch",INDEX('Thông tin lớp học'!$G$10:$G$49,SUMPRODUCT(('Thông tin lớp học'!$H$10:$H$49=H$4)*('Thông tin lớp học'!$I$10:$I$49&lt;=$A18+0.000001)*('Thông tin lớp học'!$J$10:$J$49&gt;$A18+0.000001)*(ROW('Thông tin lớp học'!$H$10:$H$49)-9)))&amp;" ("&amp;INDEX('Thông tin lớp học'!$K$10:$K$49,SUMPRODUCT(('Thông tin lớp học'!$H$10:$H$49=H$4)*('Thông tin lớp học'!$I$10:$I$49&lt;=$A18+0.000001)*('Thông tin lớp học'!$J$10:$J$49&gt;$A18+0.000001)*(ROW('Thông tin lớp học'!$H$10:$H$49)-9)))&amp;")"))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6">
        <v>0.541666666666667</v>
      </c>
      <c r="B19" s="123" t="str">
        <f t="array" ref="B19">IF(SUMPRODUCT(('Thông tin lớp học'!$H$10:$H$49=B$4)*('Thông tin lớp học'!$I$10:$I$49&lt;=$A19+0.000001)*('Thông tin lớp học'!$J$10:$J$49&gt;$A19+0.000001))=0,"",IF(SUMPRODUCT(('Thông tin lớp học'!$H$10:$H$49=B$4)*('Thông tin lớp học'!$I$10:$I$49&lt;=$A19+0.000001)*('Thông tin lớp học'!$J$10:$J$49&gt;$A19+0.000001))&gt;1,"⚠ Trùng lịch",INDEX('Thông tin lớp học'!$G$10:$G$49,SUMPRODUCT(('Thông tin lớp học'!$H$10:$H$49=B$4)*('Thông tin lớp học'!$I$10:$I$49&lt;=$A19+0.000001)*('Thông tin lớp học'!$J$10:$J$49&gt;$A19+0.000001)*(ROW('Thông tin lớp học'!$H$10:$H$49)-9)))&amp;" ("&amp;INDEX('Thông tin lớp học'!$K$10:$K$49,SUMPRODUCT(('Thông tin lớp học'!$H$10:$H$49=B$4)*('Thông tin lớp học'!$I$10:$I$49&lt;=$A19+0.000001)*('Thông tin lớp học'!$J$10:$J$49&gt;$A19+0.000001)*(ROW('Thông tin lớp học'!$H$10:$H$49)-9)))&amp;")"))</f>
        <v>Tâm lý học (B203)</v>
      </c>
      <c r="C19" s="123" t="str">
        <f t="array" ref="C19">IF(SUMPRODUCT(('Thông tin lớp học'!$H$10:$H$49=C$4)*('Thông tin lớp học'!$I$10:$I$49&lt;=$A19+0.000001)*('Thông tin lớp học'!$J$10:$J$49&gt;$A19+0.000001))=0,"",IF(SUMPRODUCT(('Thông tin lớp học'!$H$10:$H$49=C$4)*('Thông tin lớp học'!$I$10:$I$49&lt;=$A19+0.000001)*('Thông tin lớp học'!$J$10:$J$49&gt;$A19+0.000001))&gt;1,"⚠ Trùng lịch",INDEX('Thông tin lớp học'!$G$10:$G$49,SUMPRODUCT(('Thông tin lớp học'!$H$10:$H$49=C$4)*('Thông tin lớp học'!$I$10:$I$49&lt;=$A19+0.000001)*('Thông tin lớp học'!$J$10:$J$49&gt;$A19+0.000001)*(ROW('Thông tin lớp học'!$H$10:$H$49)-9)))&amp;" ("&amp;INDEX('Thông tin lớp học'!$K$10:$K$49,SUMPRODUCT(('Thông tin lớp học'!$H$10:$H$49=C$4)*('Thông tin lớp học'!$I$10:$I$49&lt;=$A19+0.000001)*('Thông tin lớp học'!$J$10:$J$49&gt;$A19+0.000001)*(ROW('Thông tin lớp học'!$H$10:$H$49)-9)))&amp;")"))</f>
        <v/>
      </c>
      <c r="D19" s="123" t="str">
        <f t="array" ref="D19">IF(SUMPRODUCT(('Thông tin lớp học'!$H$10:$H$49=D$4)*('Thông tin lớp học'!$I$10:$I$49&lt;=$A19+0.000001)*('Thông tin lớp học'!$J$10:$J$49&gt;$A19+0.000001))=0,"",IF(SUMPRODUCT(('Thông tin lớp học'!$H$10:$H$49=D$4)*('Thông tin lớp học'!$I$10:$I$49&lt;=$A19+0.000001)*('Thông tin lớp học'!$J$10:$J$49&gt;$A19+0.000001))&gt;1,"⚠ Trùng lịch",INDEX('Thông tin lớp học'!$G$10:$G$49,SUMPRODUCT(('Thông tin lớp học'!$H$10:$H$49=D$4)*('Thông tin lớp học'!$I$10:$I$49&lt;=$A19+0.000001)*('Thông tin lớp học'!$J$10:$J$49&gt;$A19+0.000001)*(ROW('Thông tin lớp học'!$H$10:$H$49)-9)))&amp;" ("&amp;INDEX('Thông tin lớp học'!$K$10:$K$49,SUMPRODUCT(('Thông tin lớp học'!$H$10:$H$49=D$4)*('Thông tin lớp học'!$I$10:$I$49&lt;=$A19+0.000001)*('Thông tin lớp học'!$J$10:$J$49&gt;$A19+0.000001)*(ROW('Thông tin lớp học'!$H$10:$H$49)-9)))&amp;")"))</f>
        <v/>
      </c>
      <c r="E19" s="123" t="str">
        <f t="array" ref="E19">IF(SUMPRODUCT(('Thông tin lớp học'!$H$10:$H$49=E$4)*('Thông tin lớp học'!$I$10:$I$49&lt;=$A19+0.000001)*('Thông tin lớp học'!$J$10:$J$49&gt;$A19+0.000001))=0,"",IF(SUMPRODUCT(('Thông tin lớp học'!$H$10:$H$49=E$4)*('Thông tin lớp học'!$I$10:$I$49&lt;=$A19+0.000001)*('Thông tin lớp học'!$J$10:$J$49&gt;$A19+0.000001))&gt;1,"⚠ Trùng lịch",INDEX('Thông tin lớp học'!$G$10:$G$49,SUMPRODUCT(('Thông tin lớp học'!$H$10:$H$49=E$4)*('Thông tin lớp học'!$I$10:$I$49&lt;=$A19+0.000001)*('Thông tin lớp học'!$J$10:$J$49&gt;$A19+0.000001)*(ROW('Thông tin lớp học'!$H$10:$H$49)-9)))&amp;" ("&amp;INDEX('Thông tin lớp học'!$K$10:$K$49,SUMPRODUCT(('Thông tin lớp học'!$H$10:$H$49=E$4)*('Thông tin lớp học'!$I$10:$I$49&lt;=$A19+0.000001)*('Thông tin lớp học'!$J$10:$J$49&gt;$A19+0.000001)*(ROW('Thông tin lớp học'!$H$10:$H$49)-9)))&amp;")"))</f>
        <v/>
      </c>
      <c r="F19" s="123" t="str">
        <f t="array" ref="F19">IF(SUMPRODUCT(('Thông tin lớp học'!$H$10:$H$49=F$4)*('Thông tin lớp học'!$I$10:$I$49&lt;=$A19+0.000001)*('Thông tin lớp học'!$J$10:$J$49&gt;$A19+0.000001))=0,"",IF(SUMPRODUCT(('Thông tin lớp học'!$H$10:$H$49=F$4)*('Thông tin lớp học'!$I$10:$I$49&lt;=$A19+0.000001)*('Thông tin lớp học'!$J$10:$J$49&gt;$A19+0.000001))&gt;1,"⚠ Trùng lịch",INDEX('Thông tin lớp học'!$G$10:$G$49,SUMPRODUCT(('Thông tin lớp học'!$H$10:$H$49=F$4)*('Thông tin lớp học'!$I$10:$I$49&lt;=$A19+0.000001)*('Thông tin lớp học'!$J$10:$J$49&gt;$A19+0.000001)*(ROW('Thông tin lớp học'!$H$10:$H$49)-9)))&amp;" ("&amp;INDEX('Thông tin lớp học'!$K$10:$K$49,SUMPRODUCT(('Thông tin lớp học'!$H$10:$H$49=F$4)*('Thông tin lớp học'!$I$10:$I$49&lt;=$A19+0.000001)*('Thông tin lớp học'!$J$10:$J$49&gt;$A19+0.000001)*(ROW('Thông tin lớp học'!$H$10:$H$49)-9)))&amp;")"))</f>
        <v/>
      </c>
      <c r="G19" s="123" t="str">
        <f t="array" ref="G19">IF(SUMPRODUCT(('Thông tin lớp học'!$H$10:$H$49=G$4)*('Thông tin lớp học'!$I$10:$I$49&lt;=$A19+0.000001)*('Thông tin lớp học'!$J$10:$J$49&gt;$A19+0.000001))=0,"",IF(SUMPRODUCT(('Thông tin lớp học'!$H$10:$H$49=G$4)*('Thông tin lớp học'!$I$10:$I$49&lt;=$A19+0.000001)*('Thông tin lớp học'!$J$10:$J$49&gt;$A19+0.000001))&gt;1,"⚠ Trùng lịch",INDEX('Thông tin lớp học'!$G$10:$G$49,SUMPRODUCT(('Thông tin lớp học'!$H$10:$H$49=G$4)*('Thông tin lớp học'!$I$10:$I$49&lt;=$A19+0.000001)*('Thông tin lớp học'!$J$10:$J$49&gt;$A19+0.000001)*(ROW('Thông tin lớp học'!$H$10:$H$49)-9)))&amp;" ("&amp;INDEX('Thông tin lớp học'!$K$10:$K$49,SUMPRODUCT(('Thông tin lớp học'!$H$10:$H$49=G$4)*('Thông tin lớp học'!$I$10:$I$49&lt;=$A19+0.000001)*('Thông tin lớp học'!$J$10:$J$49&gt;$A19+0.000001)*(ROW('Thông tin lớp học'!$H$10:$H$49)-9)))&amp;")"))</f>
        <v/>
      </c>
      <c r="H19" s="123" t="str">
        <f t="array" ref="H19">IF(SUMPRODUCT(('Thông tin lớp học'!$H$10:$H$49=H$4)*('Thông tin lớp học'!$I$10:$I$49&lt;=$A19+0.000001)*('Thông tin lớp học'!$J$10:$J$49&gt;$A19+0.000001))=0,"",IF(SUMPRODUCT(('Thông tin lớp học'!$H$10:$H$49=H$4)*('Thông tin lớp học'!$I$10:$I$49&lt;=$A19+0.000001)*('Thông tin lớp học'!$J$10:$J$49&gt;$A19+0.000001))&gt;1,"⚠ Trùng lịch",INDEX('Thông tin lớp học'!$G$10:$G$49,SUMPRODUCT(('Thông tin lớp học'!$H$10:$H$49=H$4)*('Thông tin lớp học'!$I$10:$I$49&lt;=$A19+0.000001)*('Thông tin lớp học'!$J$10:$J$49&gt;$A19+0.000001)*(ROW('Thông tin lớp học'!$H$10:$H$49)-9)))&amp;" ("&amp;INDEX('Thông tin lớp học'!$K$10:$K$49,SUMPRODUCT(('Thông tin lớp học'!$H$10:$H$49=H$4)*('Thông tin lớp học'!$I$10:$I$49&lt;=$A19+0.000001)*('Thông tin lớp học'!$J$10:$J$49&gt;$A19+0.000001)*(ROW('Thông tin lớp học'!$H$10:$H$49)-9)))&amp;")"))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6">
        <v>0.5625</v>
      </c>
      <c r="B20" s="123" t="str">
        <f t="array" ref="B20">IF(SUMPRODUCT(('Thông tin lớp học'!$H$10:$H$49=B$4)*('Thông tin lớp học'!$I$10:$I$49&lt;=$A20+0.000001)*('Thông tin lớp học'!$J$10:$J$49&gt;$A20+0.000001))=0,"",IF(SUMPRODUCT(('Thông tin lớp học'!$H$10:$H$49=B$4)*('Thông tin lớp học'!$I$10:$I$49&lt;=$A20+0.000001)*('Thông tin lớp học'!$J$10:$J$49&gt;$A20+0.000001))&gt;1,"⚠ Trùng lịch",INDEX('Thông tin lớp học'!$G$10:$G$49,SUMPRODUCT(('Thông tin lớp học'!$H$10:$H$49=B$4)*('Thông tin lớp học'!$I$10:$I$49&lt;=$A20+0.000001)*('Thông tin lớp học'!$J$10:$J$49&gt;$A20+0.000001)*(ROW('Thông tin lớp học'!$H$10:$H$49)-9)))&amp;" ("&amp;INDEX('Thông tin lớp học'!$K$10:$K$49,SUMPRODUCT(('Thông tin lớp học'!$H$10:$H$49=B$4)*('Thông tin lớp học'!$I$10:$I$49&lt;=$A20+0.000001)*('Thông tin lớp học'!$J$10:$J$49&gt;$A20+0.000001)*(ROW('Thông tin lớp học'!$H$10:$H$49)-9)))&amp;")"))</f>
        <v>Tâm lý học (B203)</v>
      </c>
      <c r="C20" s="123" t="str">
        <f t="array" ref="C20">IF(SUMPRODUCT(('Thông tin lớp học'!$H$10:$H$49=C$4)*('Thông tin lớp học'!$I$10:$I$49&lt;=$A20+0.000001)*('Thông tin lớp học'!$J$10:$J$49&gt;$A20+0.000001))=0,"",IF(SUMPRODUCT(('Thông tin lớp học'!$H$10:$H$49=C$4)*('Thông tin lớp học'!$I$10:$I$49&lt;=$A20+0.000001)*('Thông tin lớp học'!$J$10:$J$49&gt;$A20+0.000001))&gt;1,"⚠ Trùng lịch",INDEX('Thông tin lớp học'!$G$10:$G$49,SUMPRODUCT(('Thông tin lớp học'!$H$10:$H$49=C$4)*('Thông tin lớp học'!$I$10:$I$49&lt;=$A20+0.000001)*('Thông tin lớp học'!$J$10:$J$49&gt;$A20+0.000001)*(ROW('Thông tin lớp học'!$H$10:$H$49)-9)))&amp;" ("&amp;INDEX('Thông tin lớp học'!$K$10:$K$49,SUMPRODUCT(('Thông tin lớp học'!$H$10:$H$49=C$4)*('Thông tin lớp học'!$I$10:$I$49&lt;=$A20+0.000001)*('Thông tin lớp học'!$J$10:$J$49&gt;$A20+0.000001)*(ROW('Thông tin lớp học'!$H$10:$H$49)-9)))&amp;")"))</f>
        <v/>
      </c>
      <c r="D20" s="123" t="str">
        <f t="array" ref="D20">IF(SUMPRODUCT(('Thông tin lớp học'!$H$10:$H$49=D$4)*('Thông tin lớp học'!$I$10:$I$49&lt;=$A20+0.000001)*('Thông tin lớp học'!$J$10:$J$49&gt;$A20+0.000001))=0,"",IF(SUMPRODUCT(('Thông tin lớp học'!$H$10:$H$49=D$4)*('Thông tin lớp học'!$I$10:$I$49&lt;=$A20+0.000001)*('Thông tin lớp học'!$J$10:$J$49&gt;$A20+0.000001))&gt;1,"⚠ Trùng lịch",INDEX('Thông tin lớp học'!$G$10:$G$49,SUMPRODUCT(('Thông tin lớp học'!$H$10:$H$49=D$4)*('Thông tin lớp học'!$I$10:$I$49&lt;=$A20+0.000001)*('Thông tin lớp học'!$J$10:$J$49&gt;$A20+0.000001)*(ROW('Thông tin lớp học'!$H$10:$H$49)-9)))&amp;" ("&amp;INDEX('Thông tin lớp học'!$K$10:$K$49,SUMPRODUCT(('Thông tin lớp học'!$H$10:$H$49=D$4)*('Thông tin lớp học'!$I$10:$I$49&lt;=$A20+0.000001)*('Thông tin lớp học'!$J$10:$J$49&gt;$A20+0.000001)*(ROW('Thông tin lớp học'!$H$10:$H$49)-9)))&amp;")"))</f>
        <v>Triết học Mác-Lênin (A201)</v>
      </c>
      <c r="E20" s="123" t="str">
        <f t="array" ref="E20">IF(SUMPRODUCT(('Thông tin lớp học'!$H$10:$H$49=E$4)*('Thông tin lớp học'!$I$10:$I$49&lt;=$A20+0.000001)*('Thông tin lớp học'!$J$10:$J$49&gt;$A20+0.000001))=0,"",IF(SUMPRODUCT(('Thông tin lớp học'!$H$10:$H$49=E$4)*('Thông tin lớp học'!$I$10:$I$49&lt;=$A20+0.000001)*('Thông tin lớp học'!$J$10:$J$49&gt;$A20+0.000001))&gt;1,"⚠ Trùng lịch",INDEX('Thông tin lớp học'!$G$10:$G$49,SUMPRODUCT(('Thông tin lớp học'!$H$10:$H$49=E$4)*('Thông tin lớp học'!$I$10:$I$49&lt;=$A20+0.000001)*('Thông tin lớp học'!$J$10:$J$49&gt;$A20+0.000001)*(ROW('Thông tin lớp học'!$H$10:$H$49)-9)))&amp;" ("&amp;INDEX('Thông tin lớp học'!$K$10:$K$49,SUMPRODUCT(('Thông tin lớp học'!$H$10:$H$49=E$4)*('Thông tin lớp học'!$I$10:$I$49&lt;=$A20+0.000001)*('Thông tin lớp học'!$J$10:$J$49&gt;$A20+0.000001)*(ROW('Thông tin lớp học'!$H$10:$H$49)-9)))&amp;")"))</f>
        <v/>
      </c>
      <c r="F20" s="123" t="str">
        <f t="array" ref="F20">IF(SUMPRODUCT(('Thông tin lớp học'!$H$10:$H$49=F$4)*('Thông tin lớp học'!$I$10:$I$49&lt;=$A20+0.000001)*('Thông tin lớp học'!$J$10:$J$49&gt;$A20+0.000001))=0,"",IF(SUMPRODUCT(('Thông tin lớp học'!$H$10:$H$49=F$4)*('Thông tin lớp học'!$I$10:$I$49&lt;=$A20+0.000001)*('Thông tin lớp học'!$J$10:$J$49&gt;$A20+0.000001))&gt;1,"⚠ Trùng lịch",INDEX('Thông tin lớp học'!$G$10:$G$49,SUMPRODUCT(('Thông tin lớp học'!$H$10:$H$49=F$4)*('Thông tin lớp học'!$I$10:$I$49&lt;=$A20+0.000001)*('Thông tin lớp học'!$J$10:$J$49&gt;$A20+0.000001)*(ROW('Thông tin lớp học'!$H$10:$H$49)-9)))&amp;" ("&amp;INDEX('Thông tin lớp học'!$K$10:$K$49,SUMPRODUCT(('Thông tin lớp học'!$H$10:$H$49=F$4)*('Thông tin lớp học'!$I$10:$I$49&lt;=$A20+0.000001)*('Thông tin lớp học'!$J$10:$J$49&gt;$A20+0.000001)*(ROW('Thông tin lớp học'!$H$10:$H$49)-9)))&amp;")"))</f>
        <v/>
      </c>
      <c r="G20" s="123" t="str">
        <f t="array" ref="G20">IF(SUMPRODUCT(('Thông tin lớp học'!$H$10:$H$49=G$4)*('Thông tin lớp học'!$I$10:$I$49&lt;=$A20+0.000001)*('Thông tin lớp học'!$J$10:$J$49&gt;$A20+0.000001))=0,"",IF(SUMPRODUCT(('Thông tin lớp học'!$H$10:$H$49=G$4)*('Thông tin lớp học'!$I$10:$I$49&lt;=$A20+0.000001)*('Thông tin lớp học'!$J$10:$J$49&gt;$A20+0.000001))&gt;1,"⚠ Trùng lịch",INDEX('Thông tin lớp học'!$G$10:$G$49,SUMPRODUCT(('Thông tin lớp học'!$H$10:$H$49=G$4)*('Thông tin lớp học'!$I$10:$I$49&lt;=$A20+0.000001)*('Thông tin lớp học'!$J$10:$J$49&gt;$A20+0.000001)*(ROW('Thông tin lớp học'!$H$10:$H$49)-9)))&amp;" ("&amp;INDEX('Thông tin lớp học'!$K$10:$K$49,SUMPRODUCT(('Thông tin lớp học'!$H$10:$H$49=G$4)*('Thông tin lớp học'!$I$10:$I$49&lt;=$A20+0.000001)*('Thông tin lớp học'!$J$10:$J$49&gt;$A20+0.000001)*(ROW('Thông tin lớp học'!$H$10:$H$49)-9)))&amp;")"))</f>
        <v/>
      </c>
      <c r="H20" s="123" t="str">
        <f t="array" ref="H20">IF(SUMPRODUCT(('Thông tin lớp học'!$H$10:$H$49=H$4)*('Thông tin lớp học'!$I$10:$I$49&lt;=$A20+0.000001)*('Thông tin lớp học'!$J$10:$J$49&gt;$A20+0.000001))=0,"",IF(SUMPRODUCT(('Thông tin lớp học'!$H$10:$H$49=H$4)*('Thông tin lớp học'!$I$10:$I$49&lt;=$A20+0.000001)*('Thông tin lớp học'!$J$10:$J$49&gt;$A20+0.000001))&gt;1,"⚠ Trùng lịch",INDEX('Thông tin lớp học'!$G$10:$G$49,SUMPRODUCT(('Thông tin lớp học'!$H$10:$H$49=H$4)*('Thông tin lớp học'!$I$10:$I$49&lt;=$A20+0.000001)*('Thông tin lớp học'!$J$10:$J$49&gt;$A20+0.000001)*(ROW('Thông tin lớp học'!$H$10:$H$49)-9)))&amp;" ("&amp;INDEX('Thông tin lớp học'!$K$10:$K$49,SUMPRODUCT(('Thông tin lớp học'!$H$10:$H$49=H$4)*('Thông tin lớp học'!$I$10:$I$49&lt;=$A20+0.000001)*('Thông tin lớp học'!$J$10:$J$49&gt;$A20+0.000001)*(ROW('Thông tin lớp học'!$H$10:$H$49)-9)))&amp;")"))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16">
        <v>0.583333333333333</v>
      </c>
      <c r="B21" s="123" t="str">
        <f t="array" ref="B21">IF(SUMPRODUCT(('Thông tin lớp học'!$H$10:$H$49=B$4)*('Thông tin lớp học'!$I$10:$I$49&lt;=$A21+0.000001)*('Thông tin lớp học'!$J$10:$J$49&gt;$A21+0.000001))=0,"",IF(SUMPRODUCT(('Thông tin lớp học'!$H$10:$H$49=B$4)*('Thông tin lớp học'!$I$10:$I$49&lt;=$A21+0.000001)*('Thông tin lớp học'!$J$10:$J$49&gt;$A21+0.000001))&gt;1,"⚠ Trùng lịch",INDEX('Thông tin lớp học'!$G$10:$G$49,SUMPRODUCT(('Thông tin lớp học'!$H$10:$H$49=B$4)*('Thông tin lớp học'!$I$10:$I$49&lt;=$A21+0.000001)*('Thông tin lớp học'!$J$10:$J$49&gt;$A21+0.000001)*(ROW('Thông tin lớp học'!$H$10:$H$49)-9)))&amp;" ("&amp;INDEX('Thông tin lớp học'!$K$10:$K$49,SUMPRODUCT(('Thông tin lớp học'!$H$10:$H$49=B$4)*('Thông tin lớp học'!$I$10:$I$49&lt;=$A21+0.000001)*('Thông tin lớp học'!$J$10:$J$49&gt;$A21+0.000001)*(ROW('Thông tin lớp học'!$H$10:$H$49)-9)))&amp;")"))</f>
        <v>Tâm lý học (B203)</v>
      </c>
      <c r="C21" s="123" t="str">
        <f t="array" ref="C21">IF(SUMPRODUCT(('Thông tin lớp học'!$H$10:$H$49=C$4)*('Thông tin lớp học'!$I$10:$I$49&lt;=$A21+0.000001)*('Thông tin lớp học'!$J$10:$J$49&gt;$A21+0.000001))=0,"",IF(SUMPRODUCT(('Thông tin lớp học'!$H$10:$H$49=C$4)*('Thông tin lớp học'!$I$10:$I$49&lt;=$A21+0.000001)*('Thông tin lớp học'!$J$10:$J$49&gt;$A21+0.000001))&gt;1,"⚠ Trùng lịch",INDEX('Thông tin lớp học'!$G$10:$G$49,SUMPRODUCT(('Thông tin lớp học'!$H$10:$H$49=C$4)*('Thông tin lớp học'!$I$10:$I$49&lt;=$A21+0.000001)*('Thông tin lớp học'!$J$10:$J$49&gt;$A21+0.000001)*(ROW('Thông tin lớp học'!$H$10:$H$49)-9)))&amp;" ("&amp;INDEX('Thông tin lớp học'!$K$10:$K$49,SUMPRODUCT(('Thông tin lớp học'!$H$10:$H$49=C$4)*('Thông tin lớp học'!$I$10:$I$49&lt;=$A21+0.000001)*('Thông tin lớp học'!$J$10:$J$49&gt;$A21+0.000001)*(ROW('Thông tin lớp học'!$H$10:$H$49)-9)))&amp;")"))</f>
        <v/>
      </c>
      <c r="D21" s="123" t="str">
        <f t="array" ref="D21">IF(SUMPRODUCT(('Thông tin lớp học'!$H$10:$H$49=D$4)*('Thông tin lớp học'!$I$10:$I$49&lt;=$A21+0.000001)*('Thông tin lớp học'!$J$10:$J$49&gt;$A21+0.000001))=0,"",IF(SUMPRODUCT(('Thông tin lớp học'!$H$10:$H$49=D$4)*('Thông tin lớp học'!$I$10:$I$49&lt;=$A21+0.000001)*('Thông tin lớp học'!$J$10:$J$49&gt;$A21+0.000001))&gt;1,"⚠ Trùng lịch",INDEX('Thông tin lớp học'!$G$10:$G$49,SUMPRODUCT(('Thông tin lớp học'!$H$10:$H$49=D$4)*('Thông tin lớp học'!$I$10:$I$49&lt;=$A21+0.000001)*('Thông tin lớp học'!$J$10:$J$49&gt;$A21+0.000001)*(ROW('Thông tin lớp học'!$H$10:$H$49)-9)))&amp;" ("&amp;INDEX('Thông tin lớp học'!$K$10:$K$49,SUMPRODUCT(('Thông tin lớp học'!$H$10:$H$49=D$4)*('Thông tin lớp học'!$I$10:$I$49&lt;=$A21+0.000001)*('Thông tin lớp học'!$J$10:$J$49&gt;$A21+0.000001)*(ROW('Thông tin lớp học'!$H$10:$H$49)-9)))&amp;")"))</f>
        <v>Triết học Mác-Lênin (A201)</v>
      </c>
      <c r="E21" s="123" t="str">
        <f t="array" ref="E21">IF(SUMPRODUCT(('Thông tin lớp học'!$H$10:$H$49=E$4)*('Thông tin lớp học'!$I$10:$I$49&lt;=$A21+0.000001)*('Thông tin lớp học'!$J$10:$J$49&gt;$A21+0.000001))=0,"",IF(SUMPRODUCT(('Thông tin lớp học'!$H$10:$H$49=E$4)*('Thông tin lớp học'!$I$10:$I$49&lt;=$A21+0.000001)*('Thông tin lớp học'!$J$10:$J$49&gt;$A21+0.000001))&gt;1,"⚠ Trùng lịch",INDEX('Thông tin lớp học'!$G$10:$G$49,SUMPRODUCT(('Thông tin lớp học'!$H$10:$H$49=E$4)*('Thông tin lớp học'!$I$10:$I$49&lt;=$A21+0.000001)*('Thông tin lớp học'!$J$10:$J$49&gt;$A21+0.000001)*(ROW('Thông tin lớp học'!$H$10:$H$49)-9)))&amp;" ("&amp;INDEX('Thông tin lớp học'!$K$10:$K$49,SUMPRODUCT(('Thông tin lớp học'!$H$10:$H$49=E$4)*('Thông tin lớp học'!$I$10:$I$49&lt;=$A21+0.000001)*('Thông tin lớp học'!$J$10:$J$49&gt;$A21+0.000001)*(ROW('Thông tin lớp học'!$H$10:$H$49)-9)))&amp;")"))</f>
        <v/>
      </c>
      <c r="F21" s="123" t="str">
        <f t="array" ref="F21">IF(SUMPRODUCT(('Thông tin lớp học'!$H$10:$H$49=F$4)*('Thông tin lớp học'!$I$10:$I$49&lt;=$A21+0.000001)*('Thông tin lớp học'!$J$10:$J$49&gt;$A21+0.000001))=0,"",IF(SUMPRODUCT(('Thông tin lớp học'!$H$10:$H$49=F$4)*('Thông tin lớp học'!$I$10:$I$49&lt;=$A21+0.000001)*('Thông tin lớp học'!$J$10:$J$49&gt;$A21+0.000001))&gt;1,"⚠ Trùng lịch",INDEX('Thông tin lớp học'!$G$10:$G$49,SUMPRODUCT(('Thông tin lớp học'!$H$10:$H$49=F$4)*('Thông tin lớp học'!$I$10:$I$49&lt;=$A21+0.000001)*('Thông tin lớp học'!$J$10:$J$49&gt;$A21+0.000001)*(ROW('Thông tin lớp học'!$H$10:$H$49)-9)))&amp;" ("&amp;INDEX('Thông tin lớp học'!$K$10:$K$49,SUMPRODUCT(('Thông tin lớp học'!$H$10:$H$49=F$4)*('Thông tin lớp học'!$I$10:$I$49&lt;=$A21+0.000001)*('Thông tin lớp học'!$J$10:$J$49&gt;$A21+0.000001)*(ROW('Thông tin lớp học'!$H$10:$H$49)-9)))&amp;")"))</f>
        <v>Kỹ năng mềm (D301)</v>
      </c>
      <c r="G21" s="123" t="str">
        <f t="array" ref="G21">IF(SUMPRODUCT(('Thông tin lớp học'!$H$10:$H$49=G$4)*('Thông tin lớp học'!$I$10:$I$49&lt;=$A21+0.000001)*('Thông tin lớp học'!$J$10:$J$49&gt;$A21+0.000001))=0,"",IF(SUMPRODUCT(('Thông tin lớp học'!$H$10:$H$49=G$4)*('Thông tin lớp học'!$I$10:$I$49&lt;=$A21+0.000001)*('Thông tin lớp học'!$J$10:$J$49&gt;$A21+0.000001))&gt;1,"⚠ Trùng lịch",INDEX('Thông tin lớp học'!$G$10:$G$49,SUMPRODUCT(('Thông tin lớp học'!$H$10:$H$49=G$4)*('Thông tin lớp học'!$I$10:$I$49&lt;=$A21+0.000001)*('Thông tin lớp học'!$J$10:$J$49&gt;$A21+0.000001)*(ROW('Thông tin lớp học'!$H$10:$H$49)-9)))&amp;" ("&amp;INDEX('Thông tin lớp học'!$K$10:$K$49,SUMPRODUCT(('Thông tin lớp học'!$H$10:$H$49=G$4)*('Thông tin lớp học'!$I$10:$I$49&lt;=$A21+0.000001)*('Thông tin lớp học'!$J$10:$J$49&gt;$A21+0.000001)*(ROW('Thông tin lớp học'!$H$10:$H$49)-9)))&amp;")"))</f>
        <v/>
      </c>
      <c r="H21" s="123" t="str">
        <f t="array" ref="H21">IF(SUMPRODUCT(('Thông tin lớp học'!$H$10:$H$49=H$4)*('Thông tin lớp học'!$I$10:$I$49&lt;=$A21+0.000001)*('Thông tin lớp học'!$J$10:$J$49&gt;$A21+0.000001))=0,"",IF(SUMPRODUCT(('Thông tin lớp học'!$H$10:$H$49=H$4)*('Thông tin lớp học'!$I$10:$I$49&lt;=$A21+0.000001)*('Thông tin lớp học'!$J$10:$J$49&gt;$A21+0.000001))&gt;1,"⚠ Trùng lịch",INDEX('Thông tin lớp học'!$G$10:$G$49,SUMPRODUCT(('Thông tin lớp học'!$H$10:$H$49=H$4)*('Thông tin lớp học'!$I$10:$I$49&lt;=$A21+0.000001)*('Thông tin lớp học'!$J$10:$J$49&gt;$A21+0.000001)*(ROW('Thông tin lớp học'!$H$10:$H$49)-9)))&amp;" ("&amp;INDEX('Thông tin lớp học'!$K$10:$K$49,SUMPRODUCT(('Thông tin lớp học'!$H$10:$H$49=H$4)*('Thông tin lớp học'!$I$10:$I$49&lt;=$A21+0.000001)*('Thông tin lớp học'!$J$10:$J$49&gt;$A21+0.000001)*(ROW('Thông tin lớp học'!$H$10:$H$49)-9)))&amp;")"))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16">
        <v>0.604166666666667</v>
      </c>
      <c r="B22" s="123" t="str">
        <f t="array" ref="B22">IF(SUMPRODUCT(('Thông tin lớp học'!$H$10:$H$49=B$4)*('Thông tin lớp học'!$I$10:$I$49&lt;=$A22+0.000001)*('Thông tin lớp học'!$J$10:$J$49&gt;$A22+0.000001))=0,"",IF(SUMPRODUCT(('Thông tin lớp học'!$H$10:$H$49=B$4)*('Thông tin lớp học'!$I$10:$I$49&lt;=$A22+0.000001)*('Thông tin lớp học'!$J$10:$J$49&gt;$A22+0.000001))&gt;1,"⚠ Trùng lịch",INDEX('Thông tin lớp học'!$G$10:$G$49,SUMPRODUCT(('Thông tin lớp học'!$H$10:$H$49=B$4)*('Thông tin lớp học'!$I$10:$I$49&lt;=$A22+0.000001)*('Thông tin lớp học'!$J$10:$J$49&gt;$A22+0.000001)*(ROW('Thông tin lớp học'!$H$10:$H$49)-9)))&amp;" ("&amp;INDEX('Thông tin lớp học'!$K$10:$K$49,SUMPRODUCT(('Thông tin lớp học'!$H$10:$H$49=B$4)*('Thông tin lớp học'!$I$10:$I$49&lt;=$A22+0.000001)*('Thông tin lớp học'!$J$10:$J$49&gt;$A22+0.000001)*(ROW('Thông tin lớp học'!$H$10:$H$49)-9)))&amp;")"))</f>
        <v>Tâm lý học (B203)</v>
      </c>
      <c r="C22" s="123" t="str">
        <f t="array" ref="C22">IF(SUMPRODUCT(('Thông tin lớp học'!$H$10:$H$49=C$4)*('Thông tin lớp học'!$I$10:$I$49&lt;=$A22+0.000001)*('Thông tin lớp học'!$J$10:$J$49&gt;$A22+0.000001))=0,"",IF(SUMPRODUCT(('Thông tin lớp học'!$H$10:$H$49=C$4)*('Thông tin lớp học'!$I$10:$I$49&lt;=$A22+0.000001)*('Thông tin lớp học'!$J$10:$J$49&gt;$A22+0.000001))&gt;1,"⚠ Trùng lịch",INDEX('Thông tin lớp học'!$G$10:$G$49,SUMPRODUCT(('Thông tin lớp học'!$H$10:$H$49=C$4)*('Thông tin lớp học'!$I$10:$I$49&lt;=$A22+0.000001)*('Thông tin lớp học'!$J$10:$J$49&gt;$A22+0.000001)*(ROW('Thông tin lớp học'!$H$10:$H$49)-9)))&amp;" ("&amp;INDEX('Thông tin lớp học'!$K$10:$K$49,SUMPRODUCT(('Thông tin lớp học'!$H$10:$H$49=C$4)*('Thông tin lớp học'!$I$10:$I$49&lt;=$A22+0.000001)*('Thông tin lớp học'!$J$10:$J$49&gt;$A22+0.000001)*(ROW('Thông tin lớp học'!$H$10:$H$49)-9)))&amp;")"))</f>
        <v/>
      </c>
      <c r="D22" s="123" t="str">
        <f t="array" ref="D22">IF(SUMPRODUCT(('Thông tin lớp học'!$H$10:$H$49=D$4)*('Thông tin lớp học'!$I$10:$I$49&lt;=$A22+0.000001)*('Thông tin lớp học'!$J$10:$J$49&gt;$A22+0.000001))=0,"",IF(SUMPRODUCT(('Thông tin lớp học'!$H$10:$H$49=D$4)*('Thông tin lớp học'!$I$10:$I$49&lt;=$A22+0.000001)*('Thông tin lớp học'!$J$10:$J$49&gt;$A22+0.000001))&gt;1,"⚠ Trùng lịch",INDEX('Thông tin lớp học'!$G$10:$G$49,SUMPRODUCT(('Thông tin lớp học'!$H$10:$H$49=D$4)*('Thông tin lớp học'!$I$10:$I$49&lt;=$A22+0.000001)*('Thông tin lớp học'!$J$10:$J$49&gt;$A22+0.000001)*(ROW('Thông tin lớp học'!$H$10:$H$49)-9)))&amp;" ("&amp;INDEX('Thông tin lớp học'!$K$10:$K$49,SUMPRODUCT(('Thông tin lớp học'!$H$10:$H$49=D$4)*('Thông tin lớp học'!$I$10:$I$49&lt;=$A22+0.000001)*('Thông tin lớp học'!$J$10:$J$49&gt;$A22+0.000001)*(ROW('Thông tin lớp học'!$H$10:$H$49)-9)))&amp;")"))</f>
        <v>Triết học Mác-Lênin (A201)</v>
      </c>
      <c r="E22" s="123" t="str">
        <f t="array" ref="E22">IF(SUMPRODUCT(('Thông tin lớp học'!$H$10:$H$49=E$4)*('Thông tin lớp học'!$I$10:$I$49&lt;=$A22+0.000001)*('Thông tin lớp học'!$J$10:$J$49&gt;$A22+0.000001))=0,"",IF(SUMPRODUCT(('Thông tin lớp học'!$H$10:$H$49=E$4)*('Thông tin lớp học'!$I$10:$I$49&lt;=$A22+0.000001)*('Thông tin lớp học'!$J$10:$J$49&gt;$A22+0.000001))&gt;1,"⚠ Trùng lịch",INDEX('Thông tin lớp học'!$G$10:$G$49,SUMPRODUCT(('Thông tin lớp học'!$H$10:$H$49=E$4)*('Thông tin lớp học'!$I$10:$I$49&lt;=$A22+0.000001)*('Thông tin lớp học'!$J$10:$J$49&gt;$A22+0.000001)*(ROW('Thông tin lớp học'!$H$10:$H$49)-9)))&amp;" ("&amp;INDEX('Thông tin lớp học'!$K$10:$K$49,SUMPRODUCT(('Thông tin lớp học'!$H$10:$H$49=E$4)*('Thông tin lớp học'!$I$10:$I$49&lt;=$A22+0.000001)*('Thông tin lớp học'!$J$10:$J$49&gt;$A22+0.000001)*(ROW('Thông tin lớp học'!$H$10:$H$49)-9)))&amp;")"))</f>
        <v/>
      </c>
      <c r="F22" s="123" t="str">
        <f t="array" ref="F22">IF(SUMPRODUCT(('Thông tin lớp học'!$H$10:$H$49=F$4)*('Thông tin lớp học'!$I$10:$I$49&lt;=$A22+0.000001)*('Thông tin lớp học'!$J$10:$J$49&gt;$A22+0.000001))=0,"",IF(SUMPRODUCT(('Thông tin lớp học'!$H$10:$H$49=F$4)*('Thông tin lớp học'!$I$10:$I$49&lt;=$A22+0.000001)*('Thông tin lớp học'!$J$10:$J$49&gt;$A22+0.000001))&gt;1,"⚠ Trùng lịch",INDEX('Thông tin lớp học'!$G$10:$G$49,SUMPRODUCT(('Thông tin lớp học'!$H$10:$H$49=F$4)*('Thông tin lớp học'!$I$10:$I$49&lt;=$A22+0.000001)*('Thông tin lớp học'!$J$10:$J$49&gt;$A22+0.000001)*(ROW('Thông tin lớp học'!$H$10:$H$49)-9)))&amp;" ("&amp;INDEX('Thông tin lớp học'!$K$10:$K$49,SUMPRODUCT(('Thông tin lớp học'!$H$10:$H$49=F$4)*('Thông tin lớp học'!$I$10:$I$49&lt;=$A22+0.000001)*('Thông tin lớp học'!$J$10:$J$49&gt;$A22+0.000001)*(ROW('Thông tin lớp học'!$H$10:$H$49)-9)))&amp;")"))</f>
        <v>Kỹ năng mềm (D301)</v>
      </c>
      <c r="G22" s="123" t="str">
        <f t="array" ref="G22">IF(SUMPRODUCT(('Thông tin lớp học'!$H$10:$H$49=G$4)*('Thông tin lớp học'!$I$10:$I$49&lt;=$A22+0.000001)*('Thông tin lớp học'!$J$10:$J$49&gt;$A22+0.000001))=0,"",IF(SUMPRODUCT(('Thông tin lớp học'!$H$10:$H$49=G$4)*('Thông tin lớp học'!$I$10:$I$49&lt;=$A22+0.000001)*('Thông tin lớp học'!$J$10:$J$49&gt;$A22+0.000001))&gt;1,"⚠ Trùng lịch",INDEX('Thông tin lớp học'!$G$10:$G$49,SUMPRODUCT(('Thông tin lớp học'!$H$10:$H$49=G$4)*('Thông tin lớp học'!$I$10:$I$49&lt;=$A22+0.000001)*('Thông tin lớp học'!$J$10:$J$49&gt;$A22+0.000001)*(ROW('Thông tin lớp học'!$H$10:$H$49)-9)))&amp;" ("&amp;INDEX('Thông tin lớp học'!$K$10:$K$49,SUMPRODUCT(('Thông tin lớp học'!$H$10:$H$49=G$4)*('Thông tin lớp học'!$I$10:$I$49&lt;=$A22+0.000001)*('Thông tin lớp học'!$J$10:$J$49&gt;$A22+0.000001)*(ROW('Thông tin lớp học'!$H$10:$H$49)-9)))&amp;")"))</f>
        <v/>
      </c>
      <c r="H22" s="123" t="str">
        <f t="array" ref="H22">IF(SUMPRODUCT(('Thông tin lớp học'!$H$10:$H$49=H$4)*('Thông tin lớp học'!$I$10:$I$49&lt;=$A22+0.000001)*('Thông tin lớp học'!$J$10:$J$49&gt;$A22+0.000001))=0,"",IF(SUMPRODUCT(('Thông tin lớp học'!$H$10:$H$49=H$4)*('Thông tin lớp học'!$I$10:$I$49&lt;=$A22+0.000001)*('Thông tin lớp học'!$J$10:$J$49&gt;$A22+0.000001))&gt;1,"⚠ Trùng lịch",INDEX('Thông tin lớp học'!$G$10:$G$49,SUMPRODUCT(('Thông tin lớp học'!$H$10:$H$49=H$4)*('Thông tin lớp học'!$I$10:$I$49&lt;=$A22+0.000001)*('Thông tin lớp học'!$J$10:$J$49&gt;$A22+0.000001)*(ROW('Thông tin lớp học'!$H$10:$H$49)-9)))&amp;" ("&amp;INDEX('Thông tin lớp học'!$K$10:$K$49,SUMPRODUCT(('Thông tin lớp học'!$H$10:$H$49=H$4)*('Thông tin lớp học'!$I$10:$I$49&lt;=$A22+0.000001)*('Thông tin lớp học'!$J$10:$J$49&gt;$A22+0.000001)*(ROW('Thông tin lớp học'!$H$10:$H$49)-9)))&amp;")"))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16">
        <v>0.625</v>
      </c>
      <c r="B23" s="123" t="str">
        <f t="array" ref="B23">IF(SUMPRODUCT(('Thông tin lớp học'!$H$10:$H$49=B$4)*('Thông tin lớp học'!$I$10:$I$49&lt;=$A23+0.000001)*('Thông tin lớp học'!$J$10:$J$49&gt;$A23+0.000001))=0,"",IF(SUMPRODUCT(('Thông tin lớp học'!$H$10:$H$49=B$4)*('Thông tin lớp học'!$I$10:$I$49&lt;=$A23+0.000001)*('Thông tin lớp học'!$J$10:$J$49&gt;$A23+0.000001))&gt;1,"⚠ Trùng lịch",INDEX('Thông tin lớp học'!$G$10:$G$49,SUMPRODUCT(('Thông tin lớp học'!$H$10:$H$49=B$4)*('Thông tin lớp học'!$I$10:$I$49&lt;=$A23+0.000001)*('Thông tin lớp học'!$J$10:$J$49&gt;$A23+0.000001)*(ROW('Thông tin lớp học'!$H$10:$H$49)-9)))&amp;" ("&amp;INDEX('Thông tin lớp học'!$K$10:$K$49,SUMPRODUCT(('Thông tin lớp học'!$H$10:$H$49=B$4)*('Thông tin lớp học'!$I$10:$I$49&lt;=$A23+0.000001)*('Thông tin lớp học'!$J$10:$J$49&gt;$A23+0.000001)*(ROW('Thông tin lớp học'!$H$10:$H$49)-9)))&amp;")"))</f>
        <v/>
      </c>
      <c r="C23" s="123" t="str">
        <f t="array" ref="C23">IF(SUMPRODUCT(('Thông tin lớp học'!$H$10:$H$49=C$4)*('Thông tin lớp học'!$I$10:$I$49&lt;=$A23+0.000001)*('Thông tin lớp học'!$J$10:$J$49&gt;$A23+0.000001))=0,"",IF(SUMPRODUCT(('Thông tin lớp học'!$H$10:$H$49=C$4)*('Thông tin lớp học'!$I$10:$I$49&lt;=$A23+0.000001)*('Thông tin lớp học'!$J$10:$J$49&gt;$A23+0.000001))&gt;1,"⚠ Trùng lịch",INDEX('Thông tin lớp học'!$G$10:$G$49,SUMPRODUCT(('Thông tin lớp học'!$H$10:$H$49=C$4)*('Thông tin lớp học'!$I$10:$I$49&lt;=$A23+0.000001)*('Thông tin lớp học'!$J$10:$J$49&gt;$A23+0.000001)*(ROW('Thông tin lớp học'!$H$10:$H$49)-9)))&amp;" ("&amp;INDEX('Thông tin lớp học'!$K$10:$K$49,SUMPRODUCT(('Thông tin lớp học'!$H$10:$H$49=C$4)*('Thông tin lớp học'!$I$10:$I$49&lt;=$A23+0.000001)*('Thông tin lớp học'!$J$10:$J$49&gt;$A23+0.000001)*(ROW('Thông tin lớp học'!$H$10:$H$49)-9)))&amp;")"))</f>
        <v/>
      </c>
      <c r="D23" s="123" t="str">
        <f t="array" ref="D23">IF(SUMPRODUCT(('Thông tin lớp học'!$H$10:$H$49=D$4)*('Thông tin lớp học'!$I$10:$I$49&lt;=$A23+0.000001)*('Thông tin lớp học'!$J$10:$J$49&gt;$A23+0.000001))=0,"",IF(SUMPRODUCT(('Thông tin lớp học'!$H$10:$H$49=D$4)*('Thông tin lớp học'!$I$10:$I$49&lt;=$A23+0.000001)*('Thông tin lớp học'!$J$10:$J$49&gt;$A23+0.000001))&gt;1,"⚠ Trùng lịch",INDEX('Thông tin lớp học'!$G$10:$G$49,SUMPRODUCT(('Thông tin lớp học'!$H$10:$H$49=D$4)*('Thông tin lớp học'!$I$10:$I$49&lt;=$A23+0.000001)*('Thông tin lớp học'!$J$10:$J$49&gt;$A23+0.000001)*(ROW('Thông tin lớp học'!$H$10:$H$49)-9)))&amp;" ("&amp;INDEX('Thông tin lớp học'!$K$10:$K$49,SUMPRODUCT(('Thông tin lớp học'!$H$10:$H$49=D$4)*('Thông tin lớp học'!$I$10:$I$49&lt;=$A23+0.000001)*('Thông tin lớp học'!$J$10:$J$49&gt;$A23+0.000001)*(ROW('Thông tin lớp học'!$H$10:$H$49)-9)))&amp;")"))</f>
        <v>Triết học Mác-Lênin (A201)</v>
      </c>
      <c r="E23" s="123" t="str">
        <f t="array" ref="E23">IF(SUMPRODUCT(('Thông tin lớp học'!$H$10:$H$49=E$4)*('Thông tin lớp học'!$I$10:$I$49&lt;=$A23+0.000001)*('Thông tin lớp học'!$J$10:$J$49&gt;$A23+0.000001))=0,"",IF(SUMPRODUCT(('Thông tin lớp học'!$H$10:$H$49=E$4)*('Thông tin lớp học'!$I$10:$I$49&lt;=$A23+0.000001)*('Thông tin lớp học'!$J$10:$J$49&gt;$A23+0.000001))&gt;1,"⚠ Trùng lịch",INDEX('Thông tin lớp học'!$G$10:$G$49,SUMPRODUCT(('Thông tin lớp học'!$H$10:$H$49=E$4)*('Thông tin lớp học'!$I$10:$I$49&lt;=$A23+0.000001)*('Thông tin lớp học'!$J$10:$J$49&gt;$A23+0.000001)*(ROW('Thông tin lớp học'!$H$10:$H$49)-9)))&amp;" ("&amp;INDEX('Thông tin lớp học'!$K$10:$K$49,SUMPRODUCT(('Thông tin lớp học'!$H$10:$H$49=E$4)*('Thông tin lớp học'!$I$10:$I$49&lt;=$A23+0.000001)*('Thông tin lớp học'!$J$10:$J$49&gt;$A23+0.000001)*(ROW('Thông tin lớp học'!$H$10:$H$49)-9)))&amp;")"))</f>
        <v/>
      </c>
      <c r="F23" s="123" t="str">
        <f t="array" ref="F23">IF(SUMPRODUCT(('Thông tin lớp học'!$H$10:$H$49=F$4)*('Thông tin lớp học'!$I$10:$I$49&lt;=$A23+0.000001)*('Thông tin lớp học'!$J$10:$J$49&gt;$A23+0.000001))=0,"",IF(SUMPRODUCT(('Thông tin lớp học'!$H$10:$H$49=F$4)*('Thông tin lớp học'!$I$10:$I$49&lt;=$A23+0.000001)*('Thông tin lớp học'!$J$10:$J$49&gt;$A23+0.000001))&gt;1,"⚠ Trùng lịch",INDEX('Thông tin lớp học'!$G$10:$G$49,SUMPRODUCT(('Thông tin lớp học'!$H$10:$H$49=F$4)*('Thông tin lớp học'!$I$10:$I$49&lt;=$A23+0.000001)*('Thông tin lớp học'!$J$10:$J$49&gt;$A23+0.000001)*(ROW('Thông tin lớp học'!$H$10:$H$49)-9)))&amp;" ("&amp;INDEX('Thông tin lớp học'!$K$10:$K$49,SUMPRODUCT(('Thông tin lớp học'!$H$10:$H$49=F$4)*('Thông tin lớp học'!$I$10:$I$49&lt;=$A23+0.000001)*('Thông tin lớp học'!$J$10:$J$49&gt;$A23+0.000001)*(ROW('Thông tin lớp học'!$H$10:$H$49)-9)))&amp;")"))</f>
        <v>Kỹ năng mềm (D301)</v>
      </c>
      <c r="G23" s="123" t="str">
        <f t="array" ref="G23">IF(SUMPRODUCT(('Thông tin lớp học'!$H$10:$H$49=G$4)*('Thông tin lớp học'!$I$10:$I$49&lt;=$A23+0.000001)*('Thông tin lớp học'!$J$10:$J$49&gt;$A23+0.000001))=0,"",IF(SUMPRODUCT(('Thông tin lớp học'!$H$10:$H$49=G$4)*('Thông tin lớp học'!$I$10:$I$49&lt;=$A23+0.000001)*('Thông tin lớp học'!$J$10:$J$49&gt;$A23+0.000001))&gt;1,"⚠ Trùng lịch",INDEX('Thông tin lớp học'!$G$10:$G$49,SUMPRODUCT(('Thông tin lớp học'!$H$10:$H$49=G$4)*('Thông tin lớp học'!$I$10:$I$49&lt;=$A23+0.000001)*('Thông tin lớp học'!$J$10:$J$49&gt;$A23+0.000001)*(ROW('Thông tin lớp học'!$H$10:$H$49)-9)))&amp;" ("&amp;INDEX('Thông tin lớp học'!$K$10:$K$49,SUMPRODUCT(('Thông tin lớp học'!$H$10:$H$49=G$4)*('Thông tin lớp học'!$I$10:$I$49&lt;=$A23+0.000001)*('Thông tin lớp học'!$J$10:$J$49&gt;$A23+0.000001)*(ROW('Thông tin lớp học'!$H$10:$H$49)-9)))&amp;")"))</f>
        <v/>
      </c>
      <c r="H23" s="123" t="str">
        <f t="array" ref="H23">IF(SUMPRODUCT(('Thông tin lớp học'!$H$10:$H$49=H$4)*('Thông tin lớp học'!$I$10:$I$49&lt;=$A23+0.000001)*('Thông tin lớp học'!$J$10:$J$49&gt;$A23+0.000001))=0,"",IF(SUMPRODUCT(('Thông tin lớp học'!$H$10:$H$49=H$4)*('Thông tin lớp học'!$I$10:$I$49&lt;=$A23+0.000001)*('Thông tin lớp học'!$J$10:$J$49&gt;$A23+0.000001))&gt;1,"⚠ Trùng lịch",INDEX('Thông tin lớp học'!$G$10:$G$49,SUMPRODUCT(('Thông tin lớp học'!$H$10:$H$49=H$4)*('Thông tin lớp học'!$I$10:$I$49&lt;=$A23+0.000001)*('Thông tin lớp học'!$J$10:$J$49&gt;$A23+0.000001)*(ROW('Thông tin lớp học'!$H$10:$H$49)-9)))&amp;" ("&amp;INDEX('Thông tin lớp học'!$K$10:$K$49,SUMPRODUCT(('Thông tin lớp học'!$H$10:$H$49=H$4)*('Thông tin lớp học'!$I$10:$I$49&lt;=$A23+0.000001)*('Thông tin lớp học'!$J$10:$J$49&gt;$A23+0.000001)*(ROW('Thông tin lớp học'!$H$10:$H$49)-9)))&amp;")"))</f>
        <v/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16">
        <v>0.645833333333333</v>
      </c>
      <c r="B24" s="123" t="str">
        <f t="array" ref="B24">IF(SUMPRODUCT(('Thông tin lớp học'!$H$10:$H$49=B$4)*('Thông tin lớp học'!$I$10:$I$49&lt;=$A24+0.000001)*('Thông tin lớp học'!$J$10:$J$49&gt;$A24+0.000001))=0,"",IF(SUMPRODUCT(('Thông tin lớp học'!$H$10:$H$49=B$4)*('Thông tin lớp học'!$I$10:$I$49&lt;=$A24+0.000001)*('Thông tin lớp học'!$J$10:$J$49&gt;$A24+0.000001))&gt;1,"⚠ Trùng lịch",INDEX('Thông tin lớp học'!$G$10:$G$49,SUMPRODUCT(('Thông tin lớp học'!$H$10:$H$49=B$4)*('Thông tin lớp học'!$I$10:$I$49&lt;=$A24+0.000001)*('Thông tin lớp học'!$J$10:$J$49&gt;$A24+0.000001)*(ROW('Thông tin lớp học'!$H$10:$H$49)-9)))&amp;" ("&amp;INDEX('Thông tin lớp học'!$K$10:$K$49,SUMPRODUCT(('Thông tin lớp học'!$H$10:$H$49=B$4)*('Thông tin lớp học'!$I$10:$I$49&lt;=$A24+0.000001)*('Thông tin lớp học'!$J$10:$J$49&gt;$A24+0.000001)*(ROW('Thông tin lớp học'!$H$10:$H$49)-9)))&amp;")"))</f>
        <v/>
      </c>
      <c r="C24" s="123" t="str">
        <f t="array" ref="C24">IF(SUMPRODUCT(('Thông tin lớp học'!$H$10:$H$49=C$4)*('Thông tin lớp học'!$I$10:$I$49&lt;=$A24+0.000001)*('Thông tin lớp học'!$J$10:$J$49&gt;$A24+0.000001))=0,"",IF(SUMPRODUCT(('Thông tin lớp học'!$H$10:$H$49=C$4)*('Thông tin lớp học'!$I$10:$I$49&lt;=$A24+0.000001)*('Thông tin lớp học'!$J$10:$J$49&gt;$A24+0.000001))&gt;1,"⚠ Trùng lịch",INDEX('Thông tin lớp học'!$G$10:$G$49,SUMPRODUCT(('Thông tin lớp học'!$H$10:$H$49=C$4)*('Thông tin lớp học'!$I$10:$I$49&lt;=$A24+0.000001)*('Thông tin lớp học'!$J$10:$J$49&gt;$A24+0.000001)*(ROW('Thông tin lớp học'!$H$10:$H$49)-9)))&amp;" ("&amp;INDEX('Thông tin lớp học'!$K$10:$K$49,SUMPRODUCT(('Thông tin lớp học'!$H$10:$H$49=C$4)*('Thông tin lớp học'!$I$10:$I$49&lt;=$A24+0.000001)*('Thông tin lớp học'!$J$10:$J$49&gt;$A24+0.000001)*(ROW('Thông tin lớp học'!$H$10:$H$49)-9)))&amp;")"))</f>
        <v/>
      </c>
      <c r="D24" s="123" t="str">
        <f t="array" ref="D24">IF(SUMPRODUCT(('Thông tin lớp học'!$H$10:$H$49=D$4)*('Thông tin lớp học'!$I$10:$I$49&lt;=$A24+0.000001)*('Thông tin lớp học'!$J$10:$J$49&gt;$A24+0.000001))=0,"",IF(SUMPRODUCT(('Thông tin lớp học'!$H$10:$H$49=D$4)*('Thông tin lớp học'!$I$10:$I$49&lt;=$A24+0.000001)*('Thông tin lớp học'!$J$10:$J$49&gt;$A24+0.000001))&gt;1,"⚠ Trùng lịch",INDEX('Thông tin lớp học'!$G$10:$G$49,SUMPRODUCT(('Thông tin lớp học'!$H$10:$H$49=D$4)*('Thông tin lớp học'!$I$10:$I$49&lt;=$A24+0.000001)*('Thông tin lớp học'!$J$10:$J$49&gt;$A24+0.000001)*(ROW('Thông tin lớp học'!$H$10:$H$49)-9)))&amp;" ("&amp;INDEX('Thông tin lớp học'!$K$10:$K$49,SUMPRODUCT(('Thông tin lớp học'!$H$10:$H$49=D$4)*('Thông tin lớp học'!$I$10:$I$49&lt;=$A24+0.000001)*('Thông tin lớp học'!$J$10:$J$49&gt;$A24+0.000001)*(ROW('Thông tin lớp học'!$H$10:$H$49)-9)))&amp;")"))</f>
        <v/>
      </c>
      <c r="E24" s="123" t="str">
        <f t="array" ref="E24">IF(SUMPRODUCT(('Thông tin lớp học'!$H$10:$H$49=E$4)*('Thông tin lớp học'!$I$10:$I$49&lt;=$A24+0.000001)*('Thông tin lớp học'!$J$10:$J$49&gt;$A24+0.000001))=0,"",IF(SUMPRODUCT(('Thông tin lớp học'!$H$10:$H$49=E$4)*('Thông tin lớp học'!$I$10:$I$49&lt;=$A24+0.000001)*('Thông tin lớp học'!$J$10:$J$49&gt;$A24+0.000001))&gt;1,"⚠ Trùng lịch",INDEX('Thông tin lớp học'!$G$10:$G$49,SUMPRODUCT(('Thông tin lớp học'!$H$10:$H$49=E$4)*('Thông tin lớp học'!$I$10:$I$49&lt;=$A24+0.000001)*('Thông tin lớp học'!$J$10:$J$49&gt;$A24+0.000001)*(ROW('Thông tin lớp học'!$H$10:$H$49)-9)))&amp;" ("&amp;INDEX('Thông tin lớp học'!$K$10:$K$49,SUMPRODUCT(('Thông tin lớp học'!$H$10:$H$49=E$4)*('Thông tin lớp học'!$I$10:$I$49&lt;=$A24+0.000001)*('Thông tin lớp học'!$J$10:$J$49&gt;$A24+0.000001)*(ROW('Thông tin lớp học'!$H$10:$H$49)-9)))&amp;")"))</f>
        <v/>
      </c>
      <c r="F24" s="123" t="str">
        <f t="array" ref="F24">IF(SUMPRODUCT(('Thông tin lớp học'!$H$10:$H$49=F$4)*('Thông tin lớp học'!$I$10:$I$49&lt;=$A24+0.000001)*('Thông tin lớp học'!$J$10:$J$49&gt;$A24+0.000001))=0,"",IF(SUMPRODUCT(('Thông tin lớp học'!$H$10:$H$49=F$4)*('Thông tin lớp học'!$I$10:$I$49&lt;=$A24+0.000001)*('Thông tin lớp học'!$J$10:$J$49&gt;$A24+0.000001))&gt;1,"⚠ Trùng lịch",INDEX('Thông tin lớp học'!$G$10:$G$49,SUMPRODUCT(('Thông tin lớp học'!$H$10:$H$49=F$4)*('Thông tin lớp học'!$I$10:$I$49&lt;=$A24+0.000001)*('Thông tin lớp học'!$J$10:$J$49&gt;$A24+0.000001)*(ROW('Thông tin lớp học'!$H$10:$H$49)-9)))&amp;" ("&amp;INDEX('Thông tin lớp học'!$K$10:$K$49,SUMPRODUCT(('Thông tin lớp học'!$H$10:$H$49=F$4)*('Thông tin lớp học'!$I$10:$I$49&lt;=$A24+0.000001)*('Thông tin lớp học'!$J$10:$J$49&gt;$A24+0.000001)*(ROW('Thông tin lớp học'!$H$10:$H$49)-9)))&amp;")"))</f>
        <v>Kỹ năng mềm (D301)</v>
      </c>
      <c r="G24" s="123" t="str">
        <f t="array" ref="G24">IF(SUMPRODUCT(('Thông tin lớp học'!$H$10:$H$49=G$4)*('Thông tin lớp học'!$I$10:$I$49&lt;=$A24+0.000001)*('Thông tin lớp học'!$J$10:$J$49&gt;$A24+0.000001))=0,"",IF(SUMPRODUCT(('Thông tin lớp học'!$H$10:$H$49=G$4)*('Thông tin lớp học'!$I$10:$I$49&lt;=$A24+0.000001)*('Thông tin lớp học'!$J$10:$J$49&gt;$A24+0.000001))&gt;1,"⚠ Trùng lịch",INDEX('Thông tin lớp học'!$G$10:$G$49,SUMPRODUCT(('Thông tin lớp học'!$H$10:$H$49=G$4)*('Thông tin lớp học'!$I$10:$I$49&lt;=$A24+0.000001)*('Thông tin lớp học'!$J$10:$J$49&gt;$A24+0.000001)*(ROW('Thông tin lớp học'!$H$10:$H$49)-9)))&amp;" ("&amp;INDEX('Thông tin lớp học'!$K$10:$K$49,SUMPRODUCT(('Thông tin lớp học'!$H$10:$H$49=G$4)*('Thông tin lớp học'!$I$10:$I$49&lt;=$A24+0.000001)*('Thông tin lớp học'!$J$10:$J$49&gt;$A24+0.000001)*(ROW('Thông tin lớp học'!$H$10:$H$49)-9)))&amp;")"))</f>
        <v/>
      </c>
      <c r="H24" s="123" t="str">
        <f t="array" ref="H24">IF(SUMPRODUCT(('Thông tin lớp học'!$H$10:$H$49=H$4)*('Thông tin lớp học'!$I$10:$I$49&lt;=$A24+0.000001)*('Thông tin lớp học'!$J$10:$J$49&gt;$A24+0.000001))=0,"",IF(SUMPRODUCT(('Thông tin lớp học'!$H$10:$H$49=H$4)*('Thông tin lớp học'!$I$10:$I$49&lt;=$A24+0.000001)*('Thông tin lớp học'!$J$10:$J$49&gt;$A24+0.000001))&gt;1,"⚠ Trùng lịch",INDEX('Thông tin lớp học'!$G$10:$G$49,SUMPRODUCT(('Thông tin lớp học'!$H$10:$H$49=H$4)*('Thông tin lớp học'!$I$10:$I$49&lt;=$A24+0.000001)*('Thông tin lớp học'!$J$10:$J$49&gt;$A24+0.000001)*(ROW('Thông tin lớp học'!$H$10:$H$49)-9)))&amp;" ("&amp;INDEX('Thông tin lớp học'!$K$10:$K$49,SUMPRODUCT(('Thông tin lớp học'!$H$10:$H$49=H$4)*('Thông tin lớp học'!$I$10:$I$49&lt;=$A24+0.000001)*('Thông tin lớp học'!$J$10:$J$49&gt;$A24+0.000001)*(ROW('Thông tin lớp học'!$H$10:$H$49)-9)))&amp;")"))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16">
        <v>0.666666666666667</v>
      </c>
      <c r="B25" s="123" t="str">
        <f t="array" ref="B25">IF(SUMPRODUCT(('Thông tin lớp học'!$H$10:$H$49=B$4)*('Thông tin lớp học'!$I$10:$I$49&lt;=$A25+0.000001)*('Thông tin lớp học'!$J$10:$J$49&gt;$A25+0.000001))=0,"",IF(SUMPRODUCT(('Thông tin lớp học'!$H$10:$H$49=B$4)*('Thông tin lớp học'!$I$10:$I$49&lt;=$A25+0.000001)*('Thông tin lớp học'!$J$10:$J$49&gt;$A25+0.000001))&gt;1,"⚠ Trùng lịch",INDEX('Thông tin lớp học'!$G$10:$G$49,SUMPRODUCT(('Thông tin lớp học'!$H$10:$H$49=B$4)*('Thông tin lớp học'!$I$10:$I$49&lt;=$A25+0.000001)*('Thông tin lớp học'!$J$10:$J$49&gt;$A25+0.000001)*(ROW('Thông tin lớp học'!$H$10:$H$49)-9)))&amp;" ("&amp;INDEX('Thông tin lớp học'!$K$10:$K$49,SUMPRODUCT(('Thông tin lớp học'!$H$10:$H$49=B$4)*('Thông tin lớp học'!$I$10:$I$49&lt;=$A25+0.000001)*('Thông tin lớp học'!$J$10:$J$49&gt;$A25+0.000001)*(ROW('Thông tin lớp học'!$H$10:$H$49)-9)))&amp;")"))</f>
        <v/>
      </c>
      <c r="C25" s="123" t="str">
        <f t="array" ref="C25">IF(SUMPRODUCT(('Thông tin lớp học'!$H$10:$H$49=C$4)*('Thông tin lớp học'!$I$10:$I$49&lt;=$A25+0.000001)*('Thông tin lớp học'!$J$10:$J$49&gt;$A25+0.000001))=0,"",IF(SUMPRODUCT(('Thông tin lớp học'!$H$10:$H$49=C$4)*('Thông tin lớp học'!$I$10:$I$49&lt;=$A25+0.000001)*('Thông tin lớp học'!$J$10:$J$49&gt;$A25+0.000001))&gt;1,"⚠ Trùng lịch",INDEX('Thông tin lớp học'!$G$10:$G$49,SUMPRODUCT(('Thông tin lớp học'!$H$10:$H$49=C$4)*('Thông tin lớp học'!$I$10:$I$49&lt;=$A25+0.000001)*('Thông tin lớp học'!$J$10:$J$49&gt;$A25+0.000001)*(ROW('Thông tin lớp học'!$H$10:$H$49)-9)))&amp;" ("&amp;INDEX('Thông tin lớp học'!$K$10:$K$49,SUMPRODUCT(('Thông tin lớp học'!$H$10:$H$49=C$4)*('Thông tin lớp học'!$I$10:$I$49&lt;=$A25+0.000001)*('Thông tin lớp học'!$J$10:$J$49&gt;$A25+0.000001)*(ROW('Thông tin lớp học'!$H$10:$H$49)-9)))&amp;")"))</f>
        <v/>
      </c>
      <c r="D25" s="123" t="str">
        <f t="array" ref="D25">IF(SUMPRODUCT(('Thông tin lớp học'!$H$10:$H$49=D$4)*('Thông tin lớp học'!$I$10:$I$49&lt;=$A25+0.000001)*('Thông tin lớp học'!$J$10:$J$49&gt;$A25+0.000001))=0,"",IF(SUMPRODUCT(('Thông tin lớp học'!$H$10:$H$49=D$4)*('Thông tin lớp học'!$I$10:$I$49&lt;=$A25+0.000001)*('Thông tin lớp học'!$J$10:$J$49&gt;$A25+0.000001))&gt;1,"⚠ Trùng lịch",INDEX('Thông tin lớp học'!$G$10:$G$49,SUMPRODUCT(('Thông tin lớp học'!$H$10:$H$49=D$4)*('Thông tin lớp học'!$I$10:$I$49&lt;=$A25+0.000001)*('Thông tin lớp học'!$J$10:$J$49&gt;$A25+0.000001)*(ROW('Thông tin lớp học'!$H$10:$H$49)-9)))&amp;" ("&amp;INDEX('Thông tin lớp học'!$K$10:$K$49,SUMPRODUCT(('Thông tin lớp học'!$H$10:$H$49=D$4)*('Thông tin lớp học'!$I$10:$I$49&lt;=$A25+0.000001)*('Thông tin lớp học'!$J$10:$J$49&gt;$A25+0.000001)*(ROW('Thông tin lớp học'!$H$10:$H$49)-9)))&amp;")"))</f>
        <v/>
      </c>
      <c r="E25" s="123" t="str">
        <f t="array" ref="E25">IF(SUMPRODUCT(('Thông tin lớp học'!$H$10:$H$49=E$4)*('Thông tin lớp học'!$I$10:$I$49&lt;=$A25+0.000001)*('Thông tin lớp học'!$J$10:$J$49&gt;$A25+0.000001))=0,"",IF(SUMPRODUCT(('Thông tin lớp học'!$H$10:$H$49=E$4)*('Thông tin lớp học'!$I$10:$I$49&lt;=$A25+0.000001)*('Thông tin lớp học'!$J$10:$J$49&gt;$A25+0.000001))&gt;1,"⚠ Trùng lịch",INDEX('Thông tin lớp học'!$G$10:$G$49,SUMPRODUCT(('Thông tin lớp học'!$H$10:$H$49=E$4)*('Thông tin lớp học'!$I$10:$I$49&lt;=$A25+0.000001)*('Thông tin lớp học'!$J$10:$J$49&gt;$A25+0.000001)*(ROW('Thông tin lớp học'!$H$10:$H$49)-9)))&amp;" ("&amp;INDEX('Thông tin lớp học'!$K$10:$K$49,SUMPRODUCT(('Thông tin lớp học'!$H$10:$H$49=E$4)*('Thông tin lớp học'!$I$10:$I$49&lt;=$A25+0.000001)*('Thông tin lớp học'!$J$10:$J$49&gt;$A25+0.000001)*(ROW('Thông tin lớp học'!$H$10:$H$49)-9)))&amp;")"))</f>
        <v/>
      </c>
      <c r="F25" s="123" t="str">
        <f t="array" ref="F25">IF(SUMPRODUCT(('Thông tin lớp học'!$H$10:$H$49=F$4)*('Thông tin lớp học'!$I$10:$I$49&lt;=$A25+0.000001)*('Thông tin lớp học'!$J$10:$J$49&gt;$A25+0.000001))=0,"",IF(SUMPRODUCT(('Thông tin lớp học'!$H$10:$H$49=F$4)*('Thông tin lớp học'!$I$10:$I$49&lt;=$A25+0.000001)*('Thông tin lớp học'!$J$10:$J$49&gt;$A25+0.000001))&gt;1,"⚠ Trùng lịch",INDEX('Thông tin lớp học'!$G$10:$G$49,SUMPRODUCT(('Thông tin lớp học'!$H$10:$H$49=F$4)*('Thông tin lớp học'!$I$10:$I$49&lt;=$A25+0.000001)*('Thông tin lớp học'!$J$10:$J$49&gt;$A25+0.000001)*(ROW('Thông tin lớp học'!$H$10:$H$49)-9)))&amp;" ("&amp;INDEX('Thông tin lớp học'!$K$10:$K$49,SUMPRODUCT(('Thông tin lớp học'!$H$10:$H$49=F$4)*('Thông tin lớp học'!$I$10:$I$49&lt;=$A25+0.000001)*('Thông tin lớp học'!$J$10:$J$49&gt;$A25+0.000001)*(ROW('Thông tin lớp học'!$H$10:$H$49)-9)))&amp;")"))</f>
        <v/>
      </c>
      <c r="G25" s="123" t="str">
        <f t="array" ref="G25">IF(SUMPRODUCT(('Thông tin lớp học'!$H$10:$H$49=G$4)*('Thông tin lớp học'!$I$10:$I$49&lt;=$A25+0.000001)*('Thông tin lớp học'!$J$10:$J$49&gt;$A25+0.000001))=0,"",IF(SUMPRODUCT(('Thông tin lớp học'!$H$10:$H$49=G$4)*('Thông tin lớp học'!$I$10:$I$49&lt;=$A25+0.000001)*('Thông tin lớp học'!$J$10:$J$49&gt;$A25+0.000001))&gt;1,"⚠ Trùng lịch",INDEX('Thông tin lớp học'!$G$10:$G$49,SUMPRODUCT(('Thông tin lớp học'!$H$10:$H$49=G$4)*('Thông tin lớp học'!$I$10:$I$49&lt;=$A25+0.000001)*('Thông tin lớp học'!$J$10:$J$49&gt;$A25+0.000001)*(ROW('Thông tin lớp học'!$H$10:$H$49)-9)))&amp;" ("&amp;INDEX('Thông tin lớp học'!$K$10:$K$49,SUMPRODUCT(('Thông tin lớp học'!$H$10:$H$49=G$4)*('Thông tin lớp học'!$I$10:$I$49&lt;=$A25+0.000001)*('Thông tin lớp học'!$J$10:$J$49&gt;$A25+0.000001)*(ROW('Thông tin lớp học'!$H$10:$H$49)-9)))&amp;")"))</f>
        <v/>
      </c>
      <c r="H25" s="123" t="str">
        <f t="array" ref="H25">IF(SUMPRODUCT(('Thông tin lớp học'!$H$10:$H$49=H$4)*('Thông tin lớp học'!$I$10:$I$49&lt;=$A25+0.000001)*('Thông tin lớp học'!$J$10:$J$49&gt;$A25+0.000001))=0,"",IF(SUMPRODUCT(('Thông tin lớp học'!$H$10:$H$49=H$4)*('Thông tin lớp học'!$I$10:$I$49&lt;=$A25+0.000001)*('Thông tin lớp học'!$J$10:$J$49&gt;$A25+0.000001))&gt;1,"⚠ Trùng lịch",INDEX('Thông tin lớp học'!$G$10:$G$49,SUMPRODUCT(('Thông tin lớp học'!$H$10:$H$49=H$4)*('Thông tin lớp học'!$I$10:$I$49&lt;=$A25+0.000001)*('Thông tin lớp học'!$J$10:$J$49&gt;$A25+0.000001)*(ROW('Thông tin lớp học'!$H$10:$H$49)-9)))&amp;" ("&amp;INDEX('Thông tin lớp học'!$K$10:$K$49,SUMPRODUCT(('Thông tin lớp học'!$H$10:$H$49=H$4)*('Thông tin lớp học'!$I$10:$I$49&lt;=$A25+0.000001)*('Thông tin lớp học'!$J$10:$J$49&gt;$A25+0.000001)*(ROW('Thông tin lớp học'!$H$10:$H$49)-9)))&amp;")"))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16">
        <v>0.6875</v>
      </c>
      <c r="B26" s="123" t="str">
        <f t="array" ref="B26">IF(SUMPRODUCT(('Thông tin lớp học'!$H$10:$H$49=B$4)*('Thông tin lớp học'!$I$10:$I$49&lt;=$A26+0.000001)*('Thông tin lớp học'!$J$10:$J$49&gt;$A26+0.000001))=0,"",IF(SUMPRODUCT(('Thông tin lớp học'!$H$10:$H$49=B$4)*('Thông tin lớp học'!$I$10:$I$49&lt;=$A26+0.000001)*('Thông tin lớp học'!$J$10:$J$49&gt;$A26+0.000001))&gt;1,"⚠ Trùng lịch",INDEX('Thông tin lớp học'!$G$10:$G$49,SUMPRODUCT(('Thông tin lớp học'!$H$10:$H$49=B$4)*('Thông tin lớp học'!$I$10:$I$49&lt;=$A26+0.000001)*('Thông tin lớp học'!$J$10:$J$49&gt;$A26+0.000001)*(ROW('Thông tin lớp học'!$H$10:$H$49)-9)))&amp;" ("&amp;INDEX('Thông tin lớp học'!$K$10:$K$49,SUMPRODUCT(('Thông tin lớp học'!$H$10:$H$49=B$4)*('Thông tin lớp học'!$I$10:$I$49&lt;=$A26+0.000001)*('Thông tin lớp học'!$J$10:$J$49&gt;$A26+0.000001)*(ROW('Thông tin lớp học'!$H$10:$H$49)-9)))&amp;")"))</f>
        <v/>
      </c>
      <c r="C26" s="123" t="str">
        <f t="array" ref="C26">IF(SUMPRODUCT(('Thông tin lớp học'!$H$10:$H$49=C$4)*('Thông tin lớp học'!$I$10:$I$49&lt;=$A26+0.000001)*('Thông tin lớp học'!$J$10:$J$49&gt;$A26+0.000001))=0,"",IF(SUMPRODUCT(('Thông tin lớp học'!$H$10:$H$49=C$4)*('Thông tin lớp học'!$I$10:$I$49&lt;=$A26+0.000001)*('Thông tin lớp học'!$J$10:$J$49&gt;$A26+0.000001))&gt;1,"⚠ Trùng lịch",INDEX('Thông tin lớp học'!$G$10:$G$49,SUMPRODUCT(('Thông tin lớp học'!$H$10:$H$49=C$4)*('Thông tin lớp học'!$I$10:$I$49&lt;=$A26+0.000001)*('Thông tin lớp học'!$J$10:$J$49&gt;$A26+0.000001)*(ROW('Thông tin lớp học'!$H$10:$H$49)-9)))&amp;" ("&amp;INDEX('Thông tin lớp học'!$K$10:$K$49,SUMPRODUCT(('Thông tin lớp học'!$H$10:$H$49=C$4)*('Thông tin lớp học'!$I$10:$I$49&lt;=$A26+0.000001)*('Thông tin lớp học'!$J$10:$J$49&gt;$A26+0.000001)*(ROW('Thông tin lớp học'!$H$10:$H$49)-9)))&amp;")"))</f>
        <v/>
      </c>
      <c r="D26" s="123" t="str">
        <f t="array" ref="D26">IF(SUMPRODUCT(('Thông tin lớp học'!$H$10:$H$49=D$4)*('Thông tin lớp học'!$I$10:$I$49&lt;=$A26+0.000001)*('Thông tin lớp học'!$J$10:$J$49&gt;$A26+0.000001))=0,"",IF(SUMPRODUCT(('Thông tin lớp học'!$H$10:$H$49=D$4)*('Thông tin lớp học'!$I$10:$I$49&lt;=$A26+0.000001)*('Thông tin lớp học'!$J$10:$J$49&gt;$A26+0.000001))&gt;1,"⚠ Trùng lịch",INDEX('Thông tin lớp học'!$G$10:$G$49,SUMPRODUCT(('Thông tin lớp học'!$H$10:$H$49=D$4)*('Thông tin lớp học'!$I$10:$I$49&lt;=$A26+0.000001)*('Thông tin lớp học'!$J$10:$J$49&gt;$A26+0.000001)*(ROW('Thông tin lớp học'!$H$10:$H$49)-9)))&amp;" ("&amp;INDEX('Thông tin lớp học'!$K$10:$K$49,SUMPRODUCT(('Thông tin lớp học'!$H$10:$H$49=D$4)*('Thông tin lớp học'!$I$10:$I$49&lt;=$A26+0.000001)*('Thông tin lớp học'!$J$10:$J$49&gt;$A26+0.000001)*(ROW('Thông tin lớp học'!$H$10:$H$49)-9)))&amp;")"))</f>
        <v/>
      </c>
      <c r="E26" s="123" t="str">
        <f t="array" ref="E26">IF(SUMPRODUCT(('Thông tin lớp học'!$H$10:$H$49=E$4)*('Thông tin lớp học'!$I$10:$I$49&lt;=$A26+0.000001)*('Thông tin lớp học'!$J$10:$J$49&gt;$A26+0.000001))=0,"",IF(SUMPRODUCT(('Thông tin lớp học'!$H$10:$H$49=E$4)*('Thông tin lớp học'!$I$10:$I$49&lt;=$A26+0.000001)*('Thông tin lớp học'!$J$10:$J$49&gt;$A26+0.000001))&gt;1,"⚠ Trùng lịch",INDEX('Thông tin lớp học'!$G$10:$G$49,SUMPRODUCT(('Thông tin lớp học'!$H$10:$H$49=E$4)*('Thông tin lớp học'!$I$10:$I$49&lt;=$A26+0.000001)*('Thông tin lớp học'!$J$10:$J$49&gt;$A26+0.000001)*(ROW('Thông tin lớp học'!$H$10:$H$49)-9)))&amp;" ("&amp;INDEX('Thông tin lớp học'!$K$10:$K$49,SUMPRODUCT(('Thông tin lớp học'!$H$10:$H$49=E$4)*('Thông tin lớp học'!$I$10:$I$49&lt;=$A26+0.000001)*('Thông tin lớp học'!$J$10:$J$49&gt;$A26+0.000001)*(ROW('Thông tin lớp học'!$H$10:$H$49)-9)))&amp;")"))</f>
        <v/>
      </c>
      <c r="F26" s="123" t="str">
        <f t="array" ref="F26">IF(SUMPRODUCT(('Thông tin lớp học'!$H$10:$H$49=F$4)*('Thông tin lớp học'!$I$10:$I$49&lt;=$A26+0.000001)*('Thông tin lớp học'!$J$10:$J$49&gt;$A26+0.000001))=0,"",IF(SUMPRODUCT(('Thông tin lớp học'!$H$10:$H$49=F$4)*('Thông tin lớp học'!$I$10:$I$49&lt;=$A26+0.000001)*('Thông tin lớp học'!$J$10:$J$49&gt;$A26+0.000001))&gt;1,"⚠ Trùng lịch",INDEX('Thông tin lớp học'!$G$10:$G$49,SUMPRODUCT(('Thông tin lớp học'!$H$10:$H$49=F$4)*('Thông tin lớp học'!$I$10:$I$49&lt;=$A26+0.000001)*('Thông tin lớp học'!$J$10:$J$49&gt;$A26+0.000001)*(ROW('Thông tin lớp học'!$H$10:$H$49)-9)))&amp;" ("&amp;INDEX('Thông tin lớp học'!$K$10:$K$49,SUMPRODUCT(('Thông tin lớp học'!$H$10:$H$49=F$4)*('Thông tin lớp học'!$I$10:$I$49&lt;=$A26+0.000001)*('Thông tin lớp học'!$J$10:$J$49&gt;$A26+0.000001)*(ROW('Thông tin lớp học'!$H$10:$H$49)-9)))&amp;")"))</f>
        <v/>
      </c>
      <c r="G26" s="123" t="str">
        <f t="array" ref="G26">IF(SUMPRODUCT(('Thông tin lớp học'!$H$10:$H$49=G$4)*('Thông tin lớp học'!$I$10:$I$49&lt;=$A26+0.000001)*('Thông tin lớp học'!$J$10:$J$49&gt;$A26+0.000001))=0,"",IF(SUMPRODUCT(('Thông tin lớp học'!$H$10:$H$49=G$4)*('Thông tin lớp học'!$I$10:$I$49&lt;=$A26+0.000001)*('Thông tin lớp học'!$J$10:$J$49&gt;$A26+0.000001))&gt;1,"⚠ Trùng lịch",INDEX('Thông tin lớp học'!$G$10:$G$49,SUMPRODUCT(('Thông tin lớp học'!$H$10:$H$49=G$4)*('Thông tin lớp học'!$I$10:$I$49&lt;=$A26+0.000001)*('Thông tin lớp học'!$J$10:$J$49&gt;$A26+0.000001)*(ROW('Thông tin lớp học'!$H$10:$H$49)-9)))&amp;" ("&amp;INDEX('Thông tin lớp học'!$K$10:$K$49,SUMPRODUCT(('Thông tin lớp học'!$H$10:$H$49=G$4)*('Thông tin lớp học'!$I$10:$I$49&lt;=$A26+0.000001)*('Thông tin lớp học'!$J$10:$J$49&gt;$A26+0.000001)*(ROW('Thông tin lớp học'!$H$10:$H$49)-9)))&amp;")"))</f>
        <v/>
      </c>
      <c r="H26" s="123" t="str">
        <f t="array" ref="H26">IF(SUMPRODUCT(('Thông tin lớp học'!$H$10:$H$49=H$4)*('Thông tin lớp học'!$I$10:$I$49&lt;=$A26+0.000001)*('Thông tin lớp học'!$J$10:$J$49&gt;$A26+0.000001))=0,"",IF(SUMPRODUCT(('Thông tin lớp học'!$H$10:$H$49=H$4)*('Thông tin lớp học'!$I$10:$I$49&lt;=$A26+0.000001)*('Thông tin lớp học'!$J$10:$J$49&gt;$A26+0.000001))&gt;1,"⚠ Trùng lịch",INDEX('Thông tin lớp học'!$G$10:$G$49,SUMPRODUCT(('Thông tin lớp học'!$H$10:$H$49=H$4)*('Thông tin lớp học'!$I$10:$I$49&lt;=$A26+0.000001)*('Thông tin lớp học'!$J$10:$J$49&gt;$A26+0.000001)*(ROW('Thông tin lớp học'!$H$10:$H$49)-9)))&amp;" ("&amp;INDEX('Thông tin lớp học'!$K$10:$K$49,SUMPRODUCT(('Thông tin lớp học'!$H$10:$H$49=H$4)*('Thông tin lớp học'!$I$10:$I$49&lt;=$A26+0.000001)*('Thông tin lớp học'!$J$10:$J$49&gt;$A26+0.000001)*(ROW('Thông tin lớp học'!$H$10:$H$49)-9)))&amp;")"))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16">
        <v>0.708333333333333</v>
      </c>
      <c r="B27" s="123" t="str">
        <f t="array" ref="B27">IF(SUMPRODUCT(('Thông tin lớp học'!$H$10:$H$49=B$4)*('Thông tin lớp học'!$I$10:$I$49&lt;=$A27+0.000001)*('Thông tin lớp học'!$J$10:$J$49&gt;$A27+0.000001))=0,"",IF(SUMPRODUCT(('Thông tin lớp học'!$H$10:$H$49=B$4)*('Thông tin lớp học'!$I$10:$I$49&lt;=$A27+0.000001)*('Thông tin lớp học'!$J$10:$J$49&gt;$A27+0.000001))&gt;1,"⚠ Trùng lịch",INDEX('Thông tin lớp học'!$G$10:$G$49,SUMPRODUCT(('Thông tin lớp học'!$H$10:$H$49=B$4)*('Thông tin lớp học'!$I$10:$I$49&lt;=$A27+0.000001)*('Thông tin lớp học'!$J$10:$J$49&gt;$A27+0.000001)*(ROW('Thông tin lớp học'!$H$10:$H$49)-9)))&amp;" ("&amp;INDEX('Thông tin lớp học'!$K$10:$K$49,SUMPRODUCT(('Thông tin lớp học'!$H$10:$H$49=B$4)*('Thông tin lớp học'!$I$10:$I$49&lt;=$A27+0.000001)*('Thông tin lớp học'!$J$10:$J$49&gt;$A27+0.000001)*(ROW('Thông tin lớp học'!$H$10:$H$49)-9)))&amp;")"))</f>
        <v/>
      </c>
      <c r="C27" s="123" t="str">
        <f t="array" ref="C27">IF(SUMPRODUCT(('Thông tin lớp học'!$H$10:$H$49=C$4)*('Thông tin lớp học'!$I$10:$I$49&lt;=$A27+0.000001)*('Thông tin lớp học'!$J$10:$J$49&gt;$A27+0.000001))=0,"",IF(SUMPRODUCT(('Thông tin lớp học'!$H$10:$H$49=C$4)*('Thông tin lớp học'!$I$10:$I$49&lt;=$A27+0.000001)*('Thông tin lớp học'!$J$10:$J$49&gt;$A27+0.000001))&gt;1,"⚠ Trùng lịch",INDEX('Thông tin lớp học'!$G$10:$G$49,SUMPRODUCT(('Thông tin lớp học'!$H$10:$H$49=C$4)*('Thông tin lớp học'!$I$10:$I$49&lt;=$A27+0.000001)*('Thông tin lớp học'!$J$10:$J$49&gt;$A27+0.000001)*(ROW('Thông tin lớp học'!$H$10:$H$49)-9)))&amp;" ("&amp;INDEX('Thông tin lớp học'!$K$10:$K$49,SUMPRODUCT(('Thông tin lớp học'!$H$10:$H$49=C$4)*('Thông tin lớp học'!$I$10:$I$49&lt;=$A27+0.000001)*('Thông tin lớp học'!$J$10:$J$49&gt;$A27+0.000001)*(ROW('Thông tin lớp học'!$H$10:$H$49)-9)))&amp;")"))</f>
        <v/>
      </c>
      <c r="D27" s="123" t="str">
        <f t="array" ref="D27">IF(SUMPRODUCT(('Thông tin lớp học'!$H$10:$H$49=D$4)*('Thông tin lớp học'!$I$10:$I$49&lt;=$A27+0.000001)*('Thông tin lớp học'!$J$10:$J$49&gt;$A27+0.000001))=0,"",IF(SUMPRODUCT(('Thông tin lớp học'!$H$10:$H$49=D$4)*('Thông tin lớp học'!$I$10:$I$49&lt;=$A27+0.000001)*('Thông tin lớp học'!$J$10:$J$49&gt;$A27+0.000001))&gt;1,"⚠ Trùng lịch",INDEX('Thông tin lớp học'!$G$10:$G$49,SUMPRODUCT(('Thông tin lớp học'!$H$10:$H$49=D$4)*('Thông tin lớp học'!$I$10:$I$49&lt;=$A27+0.000001)*('Thông tin lớp học'!$J$10:$J$49&gt;$A27+0.000001)*(ROW('Thông tin lớp học'!$H$10:$H$49)-9)))&amp;" ("&amp;INDEX('Thông tin lớp học'!$K$10:$K$49,SUMPRODUCT(('Thông tin lớp học'!$H$10:$H$49=D$4)*('Thông tin lớp học'!$I$10:$I$49&lt;=$A27+0.000001)*('Thông tin lớp học'!$J$10:$J$49&gt;$A27+0.000001)*(ROW('Thông tin lớp học'!$H$10:$H$49)-9)))&amp;")"))</f>
        <v/>
      </c>
      <c r="E27" s="123" t="str">
        <f t="array" ref="E27">IF(SUMPRODUCT(('Thông tin lớp học'!$H$10:$H$49=E$4)*('Thông tin lớp học'!$I$10:$I$49&lt;=$A27+0.000001)*('Thông tin lớp học'!$J$10:$J$49&gt;$A27+0.000001))=0,"",IF(SUMPRODUCT(('Thông tin lớp học'!$H$10:$H$49=E$4)*('Thông tin lớp học'!$I$10:$I$49&lt;=$A27+0.000001)*('Thông tin lớp học'!$J$10:$J$49&gt;$A27+0.000001))&gt;1,"⚠ Trùng lịch",INDEX('Thông tin lớp học'!$G$10:$G$49,SUMPRODUCT(('Thông tin lớp học'!$H$10:$H$49=E$4)*('Thông tin lớp học'!$I$10:$I$49&lt;=$A27+0.000001)*('Thông tin lớp học'!$J$10:$J$49&gt;$A27+0.000001)*(ROW('Thông tin lớp học'!$H$10:$H$49)-9)))&amp;" ("&amp;INDEX('Thông tin lớp học'!$K$10:$K$49,SUMPRODUCT(('Thông tin lớp học'!$H$10:$H$49=E$4)*('Thông tin lớp học'!$I$10:$I$49&lt;=$A27+0.000001)*('Thông tin lớp học'!$J$10:$J$49&gt;$A27+0.000001)*(ROW('Thông tin lớp học'!$H$10:$H$49)-9)))&amp;")"))</f>
        <v/>
      </c>
      <c r="F27" s="123" t="str">
        <f t="array" ref="F27">IF(SUMPRODUCT(('Thông tin lớp học'!$H$10:$H$49=F$4)*('Thông tin lớp học'!$I$10:$I$49&lt;=$A27+0.000001)*('Thông tin lớp học'!$J$10:$J$49&gt;$A27+0.000001))=0,"",IF(SUMPRODUCT(('Thông tin lớp học'!$H$10:$H$49=F$4)*('Thông tin lớp học'!$I$10:$I$49&lt;=$A27+0.000001)*('Thông tin lớp học'!$J$10:$J$49&gt;$A27+0.000001))&gt;1,"⚠ Trùng lịch",INDEX('Thông tin lớp học'!$G$10:$G$49,SUMPRODUCT(('Thông tin lớp học'!$H$10:$H$49=F$4)*('Thông tin lớp học'!$I$10:$I$49&lt;=$A27+0.000001)*('Thông tin lớp học'!$J$10:$J$49&gt;$A27+0.000001)*(ROW('Thông tin lớp học'!$H$10:$H$49)-9)))&amp;" ("&amp;INDEX('Thông tin lớp học'!$K$10:$K$49,SUMPRODUCT(('Thông tin lớp học'!$H$10:$H$49=F$4)*('Thông tin lớp học'!$I$10:$I$49&lt;=$A27+0.000001)*('Thông tin lớp học'!$J$10:$J$49&gt;$A27+0.000001)*(ROW('Thông tin lớp học'!$H$10:$H$49)-9)))&amp;")"))</f>
        <v/>
      </c>
      <c r="G27" s="123" t="str">
        <f t="array" ref="G27">IF(SUMPRODUCT(('Thông tin lớp học'!$H$10:$H$49=G$4)*('Thông tin lớp học'!$I$10:$I$49&lt;=$A27+0.000001)*('Thông tin lớp học'!$J$10:$J$49&gt;$A27+0.000001))=0,"",IF(SUMPRODUCT(('Thông tin lớp học'!$H$10:$H$49=G$4)*('Thông tin lớp học'!$I$10:$I$49&lt;=$A27+0.000001)*('Thông tin lớp học'!$J$10:$J$49&gt;$A27+0.000001))&gt;1,"⚠ Trùng lịch",INDEX('Thông tin lớp học'!$G$10:$G$49,SUMPRODUCT(('Thông tin lớp học'!$H$10:$H$49=G$4)*('Thông tin lớp học'!$I$10:$I$49&lt;=$A27+0.000001)*('Thông tin lớp học'!$J$10:$J$49&gt;$A27+0.000001)*(ROW('Thông tin lớp học'!$H$10:$H$49)-9)))&amp;" ("&amp;INDEX('Thông tin lớp học'!$K$10:$K$49,SUMPRODUCT(('Thông tin lớp học'!$H$10:$H$49=G$4)*('Thông tin lớp học'!$I$10:$I$49&lt;=$A27+0.000001)*('Thông tin lớp học'!$J$10:$J$49&gt;$A27+0.000001)*(ROW('Thông tin lớp học'!$H$10:$H$49)-9)))&amp;")"))</f>
        <v/>
      </c>
      <c r="H27" s="123" t="str">
        <f t="array" ref="H27">IF(SUMPRODUCT(('Thông tin lớp học'!$H$10:$H$49=H$4)*('Thông tin lớp học'!$I$10:$I$49&lt;=$A27+0.000001)*('Thông tin lớp học'!$J$10:$J$49&gt;$A27+0.000001))=0,"",IF(SUMPRODUCT(('Thông tin lớp học'!$H$10:$H$49=H$4)*('Thông tin lớp học'!$I$10:$I$49&lt;=$A27+0.000001)*('Thông tin lớp học'!$J$10:$J$49&gt;$A27+0.000001))&gt;1,"⚠ Trùng lịch",INDEX('Thông tin lớp học'!$G$10:$G$49,SUMPRODUCT(('Thông tin lớp học'!$H$10:$H$49=H$4)*('Thông tin lớp học'!$I$10:$I$49&lt;=$A27+0.000001)*('Thông tin lớp học'!$J$10:$J$49&gt;$A27+0.000001)*(ROW('Thông tin lớp học'!$H$10:$H$49)-9)))&amp;" ("&amp;INDEX('Thông tin lớp học'!$K$10:$K$49,SUMPRODUCT(('Thông tin lớp học'!$H$10:$H$49=H$4)*('Thông tin lớp học'!$I$10:$I$49&lt;=$A27+0.000001)*('Thông tin lớp học'!$J$10:$J$49&gt;$A27+0.000001)*(ROW('Thông tin lớp học'!$H$10:$H$49)-9)))&amp;")"))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16">
        <v>0.729166666666667</v>
      </c>
      <c r="B28" s="123" t="str">
        <f t="array" ref="B28">IF(SUMPRODUCT(('Thông tin lớp học'!$H$10:$H$49=B$4)*('Thông tin lớp học'!$I$10:$I$49&lt;=$A28+0.000001)*('Thông tin lớp học'!$J$10:$J$49&gt;$A28+0.000001))=0,"",IF(SUMPRODUCT(('Thông tin lớp học'!$H$10:$H$49=B$4)*('Thông tin lớp học'!$I$10:$I$49&lt;=$A28+0.000001)*('Thông tin lớp học'!$J$10:$J$49&gt;$A28+0.000001))&gt;1,"⚠ Trùng lịch",INDEX('Thông tin lớp học'!$G$10:$G$49,SUMPRODUCT(('Thông tin lớp học'!$H$10:$H$49=B$4)*('Thông tin lớp học'!$I$10:$I$49&lt;=$A28+0.000001)*('Thông tin lớp học'!$J$10:$J$49&gt;$A28+0.000001)*(ROW('Thông tin lớp học'!$H$10:$H$49)-9)))&amp;" ("&amp;INDEX('Thông tin lớp học'!$K$10:$K$49,SUMPRODUCT(('Thông tin lớp học'!$H$10:$H$49=B$4)*('Thông tin lớp học'!$I$10:$I$49&lt;=$A28+0.000001)*('Thông tin lớp học'!$J$10:$J$49&gt;$A28+0.000001)*(ROW('Thông tin lớp học'!$H$10:$H$49)-9)))&amp;")"))</f>
        <v/>
      </c>
      <c r="C28" s="123" t="str">
        <f t="array" ref="C28">IF(SUMPRODUCT(('Thông tin lớp học'!$H$10:$H$49=C$4)*('Thông tin lớp học'!$I$10:$I$49&lt;=$A28+0.000001)*('Thông tin lớp học'!$J$10:$J$49&gt;$A28+0.000001))=0,"",IF(SUMPRODUCT(('Thông tin lớp học'!$H$10:$H$49=C$4)*('Thông tin lớp học'!$I$10:$I$49&lt;=$A28+0.000001)*('Thông tin lớp học'!$J$10:$J$49&gt;$A28+0.000001))&gt;1,"⚠ Trùng lịch",INDEX('Thông tin lớp học'!$G$10:$G$49,SUMPRODUCT(('Thông tin lớp học'!$H$10:$H$49=C$4)*('Thông tin lớp học'!$I$10:$I$49&lt;=$A28+0.000001)*('Thông tin lớp học'!$J$10:$J$49&gt;$A28+0.000001)*(ROW('Thông tin lớp học'!$H$10:$H$49)-9)))&amp;" ("&amp;INDEX('Thông tin lớp học'!$K$10:$K$49,SUMPRODUCT(('Thông tin lớp học'!$H$10:$H$49=C$4)*('Thông tin lớp học'!$I$10:$I$49&lt;=$A28+0.000001)*('Thông tin lớp học'!$J$10:$J$49&gt;$A28+0.000001)*(ROW('Thông tin lớp học'!$H$10:$H$49)-9)))&amp;")"))</f>
        <v/>
      </c>
      <c r="D28" s="123" t="str">
        <f t="array" ref="D28">IF(SUMPRODUCT(('Thông tin lớp học'!$H$10:$H$49=D$4)*('Thông tin lớp học'!$I$10:$I$49&lt;=$A28+0.000001)*('Thông tin lớp học'!$J$10:$J$49&gt;$A28+0.000001))=0,"",IF(SUMPRODUCT(('Thông tin lớp học'!$H$10:$H$49=D$4)*('Thông tin lớp học'!$I$10:$I$49&lt;=$A28+0.000001)*('Thông tin lớp học'!$J$10:$J$49&gt;$A28+0.000001))&gt;1,"⚠ Trùng lịch",INDEX('Thông tin lớp học'!$G$10:$G$49,SUMPRODUCT(('Thông tin lớp học'!$H$10:$H$49=D$4)*('Thông tin lớp học'!$I$10:$I$49&lt;=$A28+0.000001)*('Thông tin lớp học'!$J$10:$J$49&gt;$A28+0.000001)*(ROW('Thông tin lớp học'!$H$10:$H$49)-9)))&amp;" ("&amp;INDEX('Thông tin lớp học'!$K$10:$K$49,SUMPRODUCT(('Thông tin lớp học'!$H$10:$H$49=D$4)*('Thông tin lớp học'!$I$10:$I$49&lt;=$A28+0.000001)*('Thông tin lớp học'!$J$10:$J$49&gt;$A28+0.000001)*(ROW('Thông tin lớp học'!$H$10:$H$49)-9)))&amp;")"))</f>
        <v/>
      </c>
      <c r="E28" s="123" t="str">
        <f t="array" ref="E28">IF(SUMPRODUCT(('Thông tin lớp học'!$H$10:$H$49=E$4)*('Thông tin lớp học'!$I$10:$I$49&lt;=$A28+0.000001)*('Thông tin lớp học'!$J$10:$J$49&gt;$A28+0.000001))=0,"",IF(SUMPRODUCT(('Thông tin lớp học'!$H$10:$H$49=E$4)*('Thông tin lớp học'!$I$10:$I$49&lt;=$A28+0.000001)*('Thông tin lớp học'!$J$10:$J$49&gt;$A28+0.000001))&gt;1,"⚠ Trùng lịch",INDEX('Thông tin lớp học'!$G$10:$G$49,SUMPRODUCT(('Thông tin lớp học'!$H$10:$H$49=E$4)*('Thông tin lớp học'!$I$10:$I$49&lt;=$A28+0.000001)*('Thông tin lớp học'!$J$10:$J$49&gt;$A28+0.000001)*(ROW('Thông tin lớp học'!$H$10:$H$49)-9)))&amp;" ("&amp;INDEX('Thông tin lớp học'!$K$10:$K$49,SUMPRODUCT(('Thông tin lớp học'!$H$10:$H$49=E$4)*('Thông tin lớp học'!$I$10:$I$49&lt;=$A28+0.000001)*('Thông tin lớp học'!$J$10:$J$49&gt;$A28+0.000001)*(ROW('Thông tin lớp học'!$H$10:$H$49)-9)))&amp;")"))</f>
        <v/>
      </c>
      <c r="F28" s="123" t="str">
        <f t="array" ref="F28">IF(SUMPRODUCT(('Thông tin lớp học'!$H$10:$H$49=F$4)*('Thông tin lớp học'!$I$10:$I$49&lt;=$A28+0.000001)*('Thông tin lớp học'!$J$10:$J$49&gt;$A28+0.000001))=0,"",IF(SUMPRODUCT(('Thông tin lớp học'!$H$10:$H$49=F$4)*('Thông tin lớp học'!$I$10:$I$49&lt;=$A28+0.000001)*('Thông tin lớp học'!$J$10:$J$49&gt;$A28+0.000001))&gt;1,"⚠ Trùng lịch",INDEX('Thông tin lớp học'!$G$10:$G$49,SUMPRODUCT(('Thông tin lớp học'!$H$10:$H$49=F$4)*('Thông tin lớp học'!$I$10:$I$49&lt;=$A28+0.000001)*('Thông tin lớp học'!$J$10:$J$49&gt;$A28+0.000001)*(ROW('Thông tin lớp học'!$H$10:$H$49)-9)))&amp;" ("&amp;INDEX('Thông tin lớp học'!$K$10:$K$49,SUMPRODUCT(('Thông tin lớp học'!$H$10:$H$49=F$4)*('Thông tin lớp học'!$I$10:$I$49&lt;=$A28+0.000001)*('Thông tin lớp học'!$J$10:$J$49&gt;$A28+0.000001)*(ROW('Thông tin lớp học'!$H$10:$H$49)-9)))&amp;")"))</f>
        <v/>
      </c>
      <c r="G28" s="123" t="str">
        <f t="array" ref="G28">IF(SUMPRODUCT(('Thông tin lớp học'!$H$10:$H$49=G$4)*('Thông tin lớp học'!$I$10:$I$49&lt;=$A28+0.000001)*('Thông tin lớp học'!$J$10:$J$49&gt;$A28+0.000001))=0,"",IF(SUMPRODUCT(('Thông tin lớp học'!$H$10:$H$49=G$4)*('Thông tin lớp học'!$I$10:$I$49&lt;=$A28+0.000001)*('Thông tin lớp học'!$J$10:$J$49&gt;$A28+0.000001))&gt;1,"⚠ Trùng lịch",INDEX('Thông tin lớp học'!$G$10:$G$49,SUMPRODUCT(('Thông tin lớp học'!$H$10:$H$49=G$4)*('Thông tin lớp học'!$I$10:$I$49&lt;=$A28+0.000001)*('Thông tin lớp học'!$J$10:$J$49&gt;$A28+0.000001)*(ROW('Thông tin lớp học'!$H$10:$H$49)-9)))&amp;" ("&amp;INDEX('Thông tin lớp học'!$K$10:$K$49,SUMPRODUCT(('Thông tin lớp học'!$H$10:$H$49=G$4)*('Thông tin lớp học'!$I$10:$I$49&lt;=$A28+0.000001)*('Thông tin lớp học'!$J$10:$J$49&gt;$A28+0.000001)*(ROW('Thông tin lớp học'!$H$10:$H$49)-9)))&amp;")"))</f>
        <v/>
      </c>
      <c r="H28" s="123" t="str">
        <f t="array" ref="H28">IF(SUMPRODUCT(('Thông tin lớp học'!$H$10:$H$49=H$4)*('Thông tin lớp học'!$I$10:$I$49&lt;=$A28+0.000001)*('Thông tin lớp học'!$J$10:$J$49&gt;$A28+0.000001))=0,"",IF(SUMPRODUCT(('Thông tin lớp học'!$H$10:$H$49=H$4)*('Thông tin lớp học'!$I$10:$I$49&lt;=$A28+0.000001)*('Thông tin lớp học'!$J$10:$J$49&gt;$A28+0.000001))&gt;1,"⚠ Trùng lịch",INDEX('Thông tin lớp học'!$G$10:$G$49,SUMPRODUCT(('Thông tin lớp học'!$H$10:$H$49=H$4)*('Thông tin lớp học'!$I$10:$I$49&lt;=$A28+0.000001)*('Thông tin lớp học'!$J$10:$J$49&gt;$A28+0.000001)*(ROW('Thông tin lớp học'!$H$10:$H$49)-9)))&amp;" ("&amp;INDEX('Thông tin lớp học'!$K$10:$K$49,SUMPRODUCT(('Thông tin lớp học'!$H$10:$H$49=H$4)*('Thông tin lớp học'!$I$10:$I$49&lt;=$A28+0.000001)*('Thông tin lớp học'!$J$10:$J$49&gt;$A28+0.000001)*(ROW('Thông tin lớp học'!$H$10:$H$49)-9)))&amp;")"))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16">
        <v>0.75</v>
      </c>
      <c r="B29" s="123" t="str">
        <f t="array" ref="B29">IF(SUMPRODUCT(('Thông tin lớp học'!$H$10:$H$49=B$4)*('Thông tin lớp học'!$I$10:$I$49&lt;=$A29+0.000001)*('Thông tin lớp học'!$J$10:$J$49&gt;$A29+0.000001))=0,"",IF(SUMPRODUCT(('Thông tin lớp học'!$H$10:$H$49=B$4)*('Thông tin lớp học'!$I$10:$I$49&lt;=$A29+0.000001)*('Thông tin lớp học'!$J$10:$J$49&gt;$A29+0.000001))&gt;1,"⚠ Trùng lịch",INDEX('Thông tin lớp học'!$G$10:$G$49,SUMPRODUCT(('Thông tin lớp học'!$H$10:$H$49=B$4)*('Thông tin lớp học'!$I$10:$I$49&lt;=$A29+0.000001)*('Thông tin lớp học'!$J$10:$J$49&gt;$A29+0.000001)*(ROW('Thông tin lớp học'!$H$10:$H$49)-9)))&amp;" ("&amp;INDEX('Thông tin lớp học'!$K$10:$K$49,SUMPRODUCT(('Thông tin lớp học'!$H$10:$H$49=B$4)*('Thông tin lớp học'!$I$10:$I$49&lt;=$A29+0.000001)*('Thông tin lớp học'!$J$10:$J$49&gt;$A29+0.000001)*(ROW('Thông tin lớp học'!$H$10:$H$49)-9)))&amp;")"))</f>
        <v/>
      </c>
      <c r="C29" s="123" t="str">
        <f t="array" ref="C29">IF(SUMPRODUCT(('Thông tin lớp học'!$H$10:$H$49=C$4)*('Thông tin lớp học'!$I$10:$I$49&lt;=$A29+0.000001)*('Thông tin lớp học'!$J$10:$J$49&gt;$A29+0.000001))=0,"",IF(SUMPRODUCT(('Thông tin lớp học'!$H$10:$H$49=C$4)*('Thông tin lớp học'!$I$10:$I$49&lt;=$A29+0.000001)*('Thông tin lớp học'!$J$10:$J$49&gt;$A29+0.000001))&gt;1,"⚠ Trùng lịch",INDEX('Thông tin lớp học'!$G$10:$G$49,SUMPRODUCT(('Thông tin lớp học'!$H$10:$H$49=C$4)*('Thông tin lớp học'!$I$10:$I$49&lt;=$A29+0.000001)*('Thông tin lớp học'!$J$10:$J$49&gt;$A29+0.000001)*(ROW('Thông tin lớp học'!$H$10:$H$49)-9)))&amp;" ("&amp;INDEX('Thông tin lớp học'!$K$10:$K$49,SUMPRODUCT(('Thông tin lớp học'!$H$10:$H$49=C$4)*('Thông tin lớp học'!$I$10:$I$49&lt;=$A29+0.000001)*('Thông tin lớp học'!$J$10:$J$49&gt;$A29+0.000001)*(ROW('Thông tin lớp học'!$H$10:$H$49)-9)))&amp;")"))</f>
        <v/>
      </c>
      <c r="D29" s="123" t="str">
        <f t="array" ref="D29">IF(SUMPRODUCT(('Thông tin lớp học'!$H$10:$H$49=D$4)*('Thông tin lớp học'!$I$10:$I$49&lt;=$A29+0.000001)*('Thông tin lớp học'!$J$10:$J$49&gt;$A29+0.000001))=0,"",IF(SUMPRODUCT(('Thông tin lớp học'!$H$10:$H$49=D$4)*('Thông tin lớp học'!$I$10:$I$49&lt;=$A29+0.000001)*('Thông tin lớp học'!$J$10:$J$49&gt;$A29+0.000001))&gt;1,"⚠ Trùng lịch",INDEX('Thông tin lớp học'!$G$10:$G$49,SUMPRODUCT(('Thông tin lớp học'!$H$10:$H$49=D$4)*('Thông tin lớp học'!$I$10:$I$49&lt;=$A29+0.000001)*('Thông tin lớp học'!$J$10:$J$49&gt;$A29+0.000001)*(ROW('Thông tin lớp học'!$H$10:$H$49)-9)))&amp;" ("&amp;INDEX('Thông tin lớp học'!$K$10:$K$49,SUMPRODUCT(('Thông tin lớp học'!$H$10:$H$49=D$4)*('Thông tin lớp học'!$I$10:$I$49&lt;=$A29+0.000001)*('Thông tin lớp học'!$J$10:$J$49&gt;$A29+0.000001)*(ROW('Thông tin lớp học'!$H$10:$H$49)-9)))&amp;")"))</f>
        <v/>
      </c>
      <c r="E29" s="123" t="str">
        <f t="array" ref="E29">IF(SUMPRODUCT(('Thông tin lớp học'!$H$10:$H$49=E$4)*('Thông tin lớp học'!$I$10:$I$49&lt;=$A29+0.000001)*('Thông tin lớp học'!$J$10:$J$49&gt;$A29+0.000001))=0,"",IF(SUMPRODUCT(('Thông tin lớp học'!$H$10:$H$49=E$4)*('Thông tin lớp học'!$I$10:$I$49&lt;=$A29+0.000001)*('Thông tin lớp học'!$J$10:$J$49&gt;$A29+0.000001))&gt;1,"⚠ Trùng lịch",INDEX('Thông tin lớp học'!$G$10:$G$49,SUMPRODUCT(('Thông tin lớp học'!$H$10:$H$49=E$4)*('Thông tin lớp học'!$I$10:$I$49&lt;=$A29+0.000001)*('Thông tin lớp học'!$J$10:$J$49&gt;$A29+0.000001)*(ROW('Thông tin lớp học'!$H$10:$H$49)-9)))&amp;" ("&amp;INDEX('Thông tin lớp học'!$K$10:$K$49,SUMPRODUCT(('Thông tin lớp học'!$H$10:$H$49=E$4)*('Thông tin lớp học'!$I$10:$I$49&lt;=$A29+0.000001)*('Thông tin lớp học'!$J$10:$J$49&gt;$A29+0.000001)*(ROW('Thông tin lớp học'!$H$10:$H$49)-9)))&amp;")"))</f>
        <v/>
      </c>
      <c r="F29" s="123" t="str">
        <f t="array" ref="F29">IF(SUMPRODUCT(('Thông tin lớp học'!$H$10:$H$49=F$4)*('Thông tin lớp học'!$I$10:$I$49&lt;=$A29+0.000001)*('Thông tin lớp học'!$J$10:$J$49&gt;$A29+0.000001))=0,"",IF(SUMPRODUCT(('Thông tin lớp học'!$H$10:$H$49=F$4)*('Thông tin lớp học'!$I$10:$I$49&lt;=$A29+0.000001)*('Thông tin lớp học'!$J$10:$J$49&gt;$A29+0.000001))&gt;1,"⚠ Trùng lịch",INDEX('Thông tin lớp học'!$G$10:$G$49,SUMPRODUCT(('Thông tin lớp học'!$H$10:$H$49=F$4)*('Thông tin lớp học'!$I$10:$I$49&lt;=$A29+0.000001)*('Thông tin lớp học'!$J$10:$J$49&gt;$A29+0.000001)*(ROW('Thông tin lớp học'!$H$10:$H$49)-9)))&amp;" ("&amp;INDEX('Thông tin lớp học'!$K$10:$K$49,SUMPRODUCT(('Thông tin lớp học'!$H$10:$H$49=F$4)*('Thông tin lớp học'!$I$10:$I$49&lt;=$A29+0.000001)*('Thông tin lớp học'!$J$10:$J$49&gt;$A29+0.000001)*(ROW('Thông tin lớp học'!$H$10:$H$49)-9)))&amp;")"))</f>
        <v/>
      </c>
      <c r="G29" s="123" t="str">
        <f t="array" ref="G29">IF(SUMPRODUCT(('Thông tin lớp học'!$H$10:$H$49=G$4)*('Thông tin lớp học'!$I$10:$I$49&lt;=$A29+0.000001)*('Thông tin lớp học'!$J$10:$J$49&gt;$A29+0.000001))=0,"",IF(SUMPRODUCT(('Thông tin lớp học'!$H$10:$H$49=G$4)*('Thông tin lớp học'!$I$10:$I$49&lt;=$A29+0.000001)*('Thông tin lớp học'!$J$10:$J$49&gt;$A29+0.000001))&gt;1,"⚠ Trùng lịch",INDEX('Thông tin lớp học'!$G$10:$G$49,SUMPRODUCT(('Thông tin lớp học'!$H$10:$H$49=G$4)*('Thông tin lớp học'!$I$10:$I$49&lt;=$A29+0.000001)*('Thông tin lớp học'!$J$10:$J$49&gt;$A29+0.000001)*(ROW('Thông tin lớp học'!$H$10:$H$49)-9)))&amp;" ("&amp;INDEX('Thông tin lớp học'!$K$10:$K$49,SUMPRODUCT(('Thông tin lớp học'!$H$10:$H$49=G$4)*('Thông tin lớp học'!$I$10:$I$49&lt;=$A29+0.000001)*('Thông tin lớp học'!$J$10:$J$49&gt;$A29+0.000001)*(ROW('Thông tin lớp học'!$H$10:$H$49)-9)))&amp;")"))</f>
        <v/>
      </c>
      <c r="H29" s="123" t="str">
        <f t="array" ref="H29">IF(SUMPRODUCT(('Thông tin lớp học'!$H$10:$H$49=H$4)*('Thông tin lớp học'!$I$10:$I$49&lt;=$A29+0.000001)*('Thông tin lớp học'!$J$10:$J$49&gt;$A29+0.000001))=0,"",IF(SUMPRODUCT(('Thông tin lớp học'!$H$10:$H$49=H$4)*('Thông tin lớp học'!$I$10:$I$49&lt;=$A29+0.000001)*('Thông tin lớp học'!$J$10:$J$49&gt;$A29+0.000001))&gt;1,"⚠ Trùng lịch",INDEX('Thông tin lớp học'!$G$10:$G$49,SUMPRODUCT(('Thông tin lớp học'!$H$10:$H$49=H$4)*('Thông tin lớp học'!$I$10:$I$49&lt;=$A29+0.000001)*('Thông tin lớp học'!$J$10:$J$49&gt;$A29+0.000001)*(ROW('Thông tin lớp học'!$H$10:$H$49)-9)))&amp;" ("&amp;INDEX('Thông tin lớp học'!$K$10:$K$49,SUMPRODUCT(('Thông tin lớp học'!$H$10:$H$49=H$4)*('Thông tin lớp học'!$I$10:$I$49&lt;=$A29+0.000001)*('Thông tin lớp học'!$J$10:$J$49&gt;$A29+0.000001)*(ROW('Thông tin lớp học'!$H$10:$H$49)-9)))&amp;")"))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16">
        <v>0.770833333333333</v>
      </c>
      <c r="B30" s="123" t="str">
        <f t="array" ref="B30">IF(SUMPRODUCT(('Thông tin lớp học'!$H$10:$H$49=B$4)*('Thông tin lớp học'!$I$10:$I$49&lt;=$A30+0.000001)*('Thông tin lớp học'!$J$10:$J$49&gt;$A30+0.000001))=0,"",IF(SUMPRODUCT(('Thông tin lớp học'!$H$10:$H$49=B$4)*('Thông tin lớp học'!$I$10:$I$49&lt;=$A30+0.000001)*('Thông tin lớp học'!$J$10:$J$49&gt;$A30+0.000001))&gt;1,"⚠ Trùng lịch",INDEX('Thông tin lớp học'!$G$10:$G$49,SUMPRODUCT(('Thông tin lớp học'!$H$10:$H$49=B$4)*('Thông tin lớp học'!$I$10:$I$49&lt;=$A30+0.000001)*('Thông tin lớp học'!$J$10:$J$49&gt;$A30+0.000001)*(ROW('Thông tin lớp học'!$H$10:$H$49)-9)))&amp;" ("&amp;INDEX('Thông tin lớp học'!$K$10:$K$49,SUMPRODUCT(('Thông tin lớp học'!$H$10:$H$49=B$4)*('Thông tin lớp học'!$I$10:$I$49&lt;=$A30+0.000001)*('Thông tin lớp học'!$J$10:$J$49&gt;$A30+0.000001)*(ROW('Thông tin lớp học'!$H$10:$H$49)-9)))&amp;")"))</f>
        <v/>
      </c>
      <c r="C30" s="123" t="str">
        <f t="array" ref="C30">IF(SUMPRODUCT(('Thông tin lớp học'!$H$10:$H$49=C$4)*('Thông tin lớp học'!$I$10:$I$49&lt;=$A30+0.000001)*('Thông tin lớp học'!$J$10:$J$49&gt;$A30+0.000001))=0,"",IF(SUMPRODUCT(('Thông tin lớp học'!$H$10:$H$49=C$4)*('Thông tin lớp học'!$I$10:$I$49&lt;=$A30+0.000001)*('Thông tin lớp học'!$J$10:$J$49&gt;$A30+0.000001))&gt;1,"⚠ Trùng lịch",INDEX('Thông tin lớp học'!$G$10:$G$49,SUMPRODUCT(('Thông tin lớp học'!$H$10:$H$49=C$4)*('Thông tin lớp học'!$I$10:$I$49&lt;=$A30+0.000001)*('Thông tin lớp học'!$J$10:$J$49&gt;$A30+0.000001)*(ROW('Thông tin lớp học'!$H$10:$H$49)-9)))&amp;" ("&amp;INDEX('Thông tin lớp học'!$K$10:$K$49,SUMPRODUCT(('Thông tin lớp học'!$H$10:$H$49=C$4)*('Thông tin lớp học'!$I$10:$I$49&lt;=$A30+0.000001)*('Thông tin lớp học'!$J$10:$J$49&gt;$A30+0.000001)*(ROW('Thông tin lớp học'!$H$10:$H$49)-9)))&amp;")"))</f>
        <v/>
      </c>
      <c r="D30" s="123" t="str">
        <f t="array" ref="D30">IF(SUMPRODUCT(('Thông tin lớp học'!$H$10:$H$49=D$4)*('Thông tin lớp học'!$I$10:$I$49&lt;=$A30+0.000001)*('Thông tin lớp học'!$J$10:$J$49&gt;$A30+0.000001))=0,"",IF(SUMPRODUCT(('Thông tin lớp học'!$H$10:$H$49=D$4)*('Thông tin lớp học'!$I$10:$I$49&lt;=$A30+0.000001)*('Thông tin lớp học'!$J$10:$J$49&gt;$A30+0.000001))&gt;1,"⚠ Trùng lịch",INDEX('Thông tin lớp học'!$G$10:$G$49,SUMPRODUCT(('Thông tin lớp học'!$H$10:$H$49=D$4)*('Thông tin lớp học'!$I$10:$I$49&lt;=$A30+0.000001)*('Thông tin lớp học'!$J$10:$J$49&gt;$A30+0.000001)*(ROW('Thông tin lớp học'!$H$10:$H$49)-9)))&amp;" ("&amp;INDEX('Thông tin lớp học'!$K$10:$K$49,SUMPRODUCT(('Thông tin lớp học'!$H$10:$H$49=D$4)*('Thông tin lớp học'!$I$10:$I$49&lt;=$A30+0.000001)*('Thông tin lớp học'!$J$10:$J$49&gt;$A30+0.000001)*(ROW('Thông tin lớp học'!$H$10:$H$49)-9)))&amp;")"))</f>
        <v/>
      </c>
      <c r="E30" s="123" t="str">
        <f t="array" ref="E30">IF(SUMPRODUCT(('Thông tin lớp học'!$H$10:$H$49=E$4)*('Thông tin lớp học'!$I$10:$I$49&lt;=$A30+0.000001)*('Thông tin lớp học'!$J$10:$J$49&gt;$A30+0.000001))=0,"",IF(SUMPRODUCT(('Thông tin lớp học'!$H$10:$H$49=E$4)*('Thông tin lớp học'!$I$10:$I$49&lt;=$A30+0.000001)*('Thông tin lớp học'!$J$10:$J$49&gt;$A30+0.000001))&gt;1,"⚠ Trùng lịch",INDEX('Thông tin lớp học'!$G$10:$G$49,SUMPRODUCT(('Thông tin lớp học'!$H$10:$H$49=E$4)*('Thông tin lớp học'!$I$10:$I$49&lt;=$A30+0.000001)*('Thông tin lớp học'!$J$10:$J$49&gt;$A30+0.000001)*(ROW('Thông tin lớp học'!$H$10:$H$49)-9)))&amp;" ("&amp;INDEX('Thông tin lớp học'!$K$10:$K$49,SUMPRODUCT(('Thông tin lớp học'!$H$10:$H$49=E$4)*('Thông tin lớp học'!$I$10:$I$49&lt;=$A30+0.000001)*('Thông tin lớp học'!$J$10:$J$49&gt;$A30+0.000001)*(ROW('Thông tin lớp học'!$H$10:$H$49)-9)))&amp;")"))</f>
        <v/>
      </c>
      <c r="F30" s="123" t="str">
        <f t="array" ref="F30">IF(SUMPRODUCT(('Thông tin lớp học'!$H$10:$H$49=F$4)*('Thông tin lớp học'!$I$10:$I$49&lt;=$A30+0.000001)*('Thông tin lớp học'!$J$10:$J$49&gt;$A30+0.000001))=0,"",IF(SUMPRODUCT(('Thông tin lớp học'!$H$10:$H$49=F$4)*('Thông tin lớp học'!$I$10:$I$49&lt;=$A30+0.000001)*('Thông tin lớp học'!$J$10:$J$49&gt;$A30+0.000001))&gt;1,"⚠ Trùng lịch",INDEX('Thông tin lớp học'!$G$10:$G$49,SUMPRODUCT(('Thông tin lớp học'!$H$10:$H$49=F$4)*('Thông tin lớp học'!$I$10:$I$49&lt;=$A30+0.000001)*('Thông tin lớp học'!$J$10:$J$49&gt;$A30+0.000001)*(ROW('Thông tin lớp học'!$H$10:$H$49)-9)))&amp;" ("&amp;INDEX('Thông tin lớp học'!$K$10:$K$49,SUMPRODUCT(('Thông tin lớp học'!$H$10:$H$49=F$4)*('Thông tin lớp học'!$I$10:$I$49&lt;=$A30+0.000001)*('Thông tin lớp học'!$J$10:$J$49&gt;$A30+0.000001)*(ROW('Thông tin lớp học'!$H$10:$H$49)-9)))&amp;")"))</f>
        <v/>
      </c>
      <c r="G30" s="123" t="str">
        <f t="array" ref="G30">IF(SUMPRODUCT(('Thông tin lớp học'!$H$10:$H$49=G$4)*('Thông tin lớp học'!$I$10:$I$49&lt;=$A30+0.000001)*('Thông tin lớp học'!$J$10:$J$49&gt;$A30+0.000001))=0,"",IF(SUMPRODUCT(('Thông tin lớp học'!$H$10:$H$49=G$4)*('Thông tin lớp học'!$I$10:$I$49&lt;=$A30+0.000001)*('Thông tin lớp học'!$J$10:$J$49&gt;$A30+0.000001))&gt;1,"⚠ Trùng lịch",INDEX('Thông tin lớp học'!$G$10:$G$49,SUMPRODUCT(('Thông tin lớp học'!$H$10:$H$49=G$4)*('Thông tin lớp học'!$I$10:$I$49&lt;=$A30+0.000001)*('Thông tin lớp học'!$J$10:$J$49&gt;$A30+0.000001)*(ROW('Thông tin lớp học'!$H$10:$H$49)-9)))&amp;" ("&amp;INDEX('Thông tin lớp học'!$K$10:$K$49,SUMPRODUCT(('Thông tin lớp học'!$H$10:$H$49=G$4)*('Thông tin lớp học'!$I$10:$I$49&lt;=$A30+0.000001)*('Thông tin lớp học'!$J$10:$J$49&gt;$A30+0.000001)*(ROW('Thông tin lớp học'!$H$10:$H$49)-9)))&amp;")"))</f>
        <v/>
      </c>
      <c r="H30" s="123" t="str">
        <f t="array" ref="H30">IF(SUMPRODUCT(('Thông tin lớp học'!$H$10:$H$49=H$4)*('Thông tin lớp học'!$I$10:$I$49&lt;=$A30+0.000001)*('Thông tin lớp học'!$J$10:$J$49&gt;$A30+0.000001))=0,"",IF(SUMPRODUCT(('Thông tin lớp học'!$H$10:$H$49=H$4)*('Thông tin lớp học'!$I$10:$I$49&lt;=$A30+0.000001)*('Thông tin lớp học'!$J$10:$J$49&gt;$A30+0.000001))&gt;1,"⚠ Trùng lịch",INDEX('Thông tin lớp học'!$G$10:$G$49,SUMPRODUCT(('Thông tin lớp học'!$H$10:$H$49=H$4)*('Thông tin lớp học'!$I$10:$I$49&lt;=$A30+0.000001)*('Thông tin lớp học'!$J$10:$J$49&gt;$A30+0.000001)*(ROW('Thông tin lớp học'!$H$10:$H$49)-9)))&amp;" ("&amp;INDEX('Thông tin lớp học'!$K$10:$K$49,SUMPRODUCT(('Thông tin lớp học'!$H$10:$H$49=H$4)*('Thông tin lớp học'!$I$10:$I$49&lt;=$A30+0.000001)*('Thông tin lớp học'!$J$10:$J$49&gt;$A30+0.000001)*(ROW('Thông tin lớp học'!$H$10:$H$49)-9)))&amp;")"))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16">
        <v>0.791666666666667</v>
      </c>
      <c r="B31" s="123" t="str">
        <f t="array" ref="B31">IF(SUMPRODUCT(('Thông tin lớp học'!$H$10:$H$49=B$4)*('Thông tin lớp học'!$I$10:$I$49&lt;=$A31+0.000001)*('Thông tin lớp học'!$J$10:$J$49&gt;$A31+0.000001))=0,"",IF(SUMPRODUCT(('Thông tin lớp học'!$H$10:$H$49=B$4)*('Thông tin lớp học'!$I$10:$I$49&lt;=$A31+0.000001)*('Thông tin lớp học'!$J$10:$J$49&gt;$A31+0.000001))&gt;1,"⚠ Trùng lịch",INDEX('Thông tin lớp học'!$G$10:$G$49,SUMPRODUCT(('Thông tin lớp học'!$H$10:$H$49=B$4)*('Thông tin lớp học'!$I$10:$I$49&lt;=$A31+0.000001)*('Thông tin lớp học'!$J$10:$J$49&gt;$A31+0.000001)*(ROW('Thông tin lớp học'!$H$10:$H$49)-9)))&amp;" ("&amp;INDEX('Thông tin lớp học'!$K$10:$K$49,SUMPRODUCT(('Thông tin lớp học'!$H$10:$H$49=B$4)*('Thông tin lớp học'!$I$10:$I$49&lt;=$A31+0.000001)*('Thông tin lớp học'!$J$10:$J$49&gt;$A31+0.000001)*(ROW('Thông tin lớp học'!$H$10:$H$49)-9)))&amp;")"))</f>
        <v/>
      </c>
      <c r="C31" s="123" t="str">
        <f t="array" ref="C31">IF(SUMPRODUCT(('Thông tin lớp học'!$H$10:$H$49=C$4)*('Thông tin lớp học'!$I$10:$I$49&lt;=$A31+0.000001)*('Thông tin lớp học'!$J$10:$J$49&gt;$A31+0.000001))=0,"",IF(SUMPRODUCT(('Thông tin lớp học'!$H$10:$H$49=C$4)*('Thông tin lớp học'!$I$10:$I$49&lt;=$A31+0.000001)*('Thông tin lớp học'!$J$10:$J$49&gt;$A31+0.000001))&gt;1,"⚠ Trùng lịch",INDEX('Thông tin lớp học'!$G$10:$G$49,SUMPRODUCT(('Thông tin lớp học'!$H$10:$H$49=C$4)*('Thông tin lớp học'!$I$10:$I$49&lt;=$A31+0.000001)*('Thông tin lớp học'!$J$10:$J$49&gt;$A31+0.000001)*(ROW('Thông tin lớp học'!$H$10:$H$49)-9)))&amp;" ("&amp;INDEX('Thông tin lớp học'!$K$10:$K$49,SUMPRODUCT(('Thông tin lớp học'!$H$10:$H$49=C$4)*('Thông tin lớp học'!$I$10:$I$49&lt;=$A31+0.000001)*('Thông tin lớp học'!$J$10:$J$49&gt;$A31+0.000001)*(ROW('Thông tin lớp học'!$H$10:$H$49)-9)))&amp;")"))</f>
        <v/>
      </c>
      <c r="D31" s="123" t="str">
        <f t="array" ref="D31">IF(SUMPRODUCT(('Thông tin lớp học'!$H$10:$H$49=D$4)*('Thông tin lớp học'!$I$10:$I$49&lt;=$A31+0.000001)*('Thông tin lớp học'!$J$10:$J$49&gt;$A31+0.000001))=0,"",IF(SUMPRODUCT(('Thông tin lớp học'!$H$10:$H$49=D$4)*('Thông tin lớp học'!$I$10:$I$49&lt;=$A31+0.000001)*('Thông tin lớp học'!$J$10:$J$49&gt;$A31+0.000001))&gt;1,"⚠ Trùng lịch",INDEX('Thông tin lớp học'!$G$10:$G$49,SUMPRODUCT(('Thông tin lớp học'!$H$10:$H$49=D$4)*('Thông tin lớp học'!$I$10:$I$49&lt;=$A31+0.000001)*('Thông tin lớp học'!$J$10:$J$49&gt;$A31+0.000001)*(ROW('Thông tin lớp học'!$H$10:$H$49)-9)))&amp;" ("&amp;INDEX('Thông tin lớp học'!$K$10:$K$49,SUMPRODUCT(('Thông tin lớp học'!$H$10:$H$49=D$4)*('Thông tin lớp học'!$I$10:$I$49&lt;=$A31+0.000001)*('Thông tin lớp học'!$J$10:$J$49&gt;$A31+0.000001)*(ROW('Thông tin lớp học'!$H$10:$H$49)-9)))&amp;")"))</f>
        <v/>
      </c>
      <c r="E31" s="123" t="str">
        <f t="array" ref="E31">IF(SUMPRODUCT(('Thông tin lớp học'!$H$10:$H$49=E$4)*('Thông tin lớp học'!$I$10:$I$49&lt;=$A31+0.000001)*('Thông tin lớp học'!$J$10:$J$49&gt;$A31+0.000001))=0,"",IF(SUMPRODUCT(('Thông tin lớp học'!$H$10:$H$49=E$4)*('Thông tin lớp học'!$I$10:$I$49&lt;=$A31+0.000001)*('Thông tin lớp học'!$J$10:$J$49&gt;$A31+0.000001))&gt;1,"⚠ Trùng lịch",INDEX('Thông tin lớp học'!$G$10:$G$49,SUMPRODUCT(('Thông tin lớp học'!$H$10:$H$49=E$4)*('Thông tin lớp học'!$I$10:$I$49&lt;=$A31+0.000001)*('Thông tin lớp học'!$J$10:$J$49&gt;$A31+0.000001)*(ROW('Thông tin lớp học'!$H$10:$H$49)-9)))&amp;" ("&amp;INDEX('Thông tin lớp học'!$K$10:$K$49,SUMPRODUCT(('Thông tin lớp học'!$H$10:$H$49=E$4)*('Thông tin lớp học'!$I$10:$I$49&lt;=$A31+0.000001)*('Thông tin lớp học'!$J$10:$J$49&gt;$A31+0.000001)*(ROW('Thông tin lớp học'!$H$10:$H$49)-9)))&amp;")"))</f>
        <v/>
      </c>
      <c r="F31" s="123" t="str">
        <f t="array" ref="F31">IF(SUMPRODUCT(('Thông tin lớp học'!$H$10:$H$49=F$4)*('Thông tin lớp học'!$I$10:$I$49&lt;=$A31+0.000001)*('Thông tin lớp học'!$J$10:$J$49&gt;$A31+0.000001))=0,"",IF(SUMPRODUCT(('Thông tin lớp học'!$H$10:$H$49=F$4)*('Thông tin lớp học'!$I$10:$I$49&lt;=$A31+0.000001)*('Thông tin lớp học'!$J$10:$J$49&gt;$A31+0.000001))&gt;1,"⚠ Trùng lịch",INDEX('Thông tin lớp học'!$G$10:$G$49,SUMPRODUCT(('Thông tin lớp học'!$H$10:$H$49=F$4)*('Thông tin lớp học'!$I$10:$I$49&lt;=$A31+0.000001)*('Thông tin lớp học'!$J$10:$J$49&gt;$A31+0.000001)*(ROW('Thông tin lớp học'!$H$10:$H$49)-9)))&amp;" ("&amp;INDEX('Thông tin lớp học'!$K$10:$K$49,SUMPRODUCT(('Thông tin lớp học'!$H$10:$H$49=F$4)*('Thông tin lớp học'!$I$10:$I$49&lt;=$A31+0.000001)*('Thông tin lớp học'!$J$10:$J$49&gt;$A31+0.000001)*(ROW('Thông tin lớp học'!$H$10:$H$49)-9)))&amp;")"))</f>
        <v/>
      </c>
      <c r="G31" s="123" t="str">
        <f t="array" ref="G31">IF(SUMPRODUCT(('Thông tin lớp học'!$H$10:$H$49=G$4)*('Thông tin lớp học'!$I$10:$I$49&lt;=$A31+0.000001)*('Thông tin lớp học'!$J$10:$J$49&gt;$A31+0.000001))=0,"",IF(SUMPRODUCT(('Thông tin lớp học'!$H$10:$H$49=G$4)*('Thông tin lớp học'!$I$10:$I$49&lt;=$A31+0.000001)*('Thông tin lớp học'!$J$10:$J$49&gt;$A31+0.000001))&gt;1,"⚠ Trùng lịch",INDEX('Thông tin lớp học'!$G$10:$G$49,SUMPRODUCT(('Thông tin lớp học'!$H$10:$H$49=G$4)*('Thông tin lớp học'!$I$10:$I$49&lt;=$A31+0.000001)*('Thông tin lớp học'!$J$10:$J$49&gt;$A31+0.000001)*(ROW('Thông tin lớp học'!$H$10:$H$49)-9)))&amp;" ("&amp;INDEX('Thông tin lớp học'!$K$10:$K$49,SUMPRODUCT(('Thông tin lớp học'!$H$10:$H$49=G$4)*('Thông tin lớp học'!$I$10:$I$49&lt;=$A31+0.000001)*('Thông tin lớp học'!$J$10:$J$49&gt;$A31+0.000001)*(ROW('Thông tin lớp học'!$H$10:$H$49)-9)))&amp;")"))</f>
        <v/>
      </c>
      <c r="H31" s="123" t="str">
        <f t="array" ref="H31">IF(SUMPRODUCT(('Thông tin lớp học'!$H$10:$H$49=H$4)*('Thông tin lớp học'!$I$10:$I$49&lt;=$A31+0.000001)*('Thông tin lớp học'!$J$10:$J$49&gt;$A31+0.000001))=0,"",IF(SUMPRODUCT(('Thông tin lớp học'!$H$10:$H$49=H$4)*('Thông tin lớp học'!$I$10:$I$49&lt;=$A31+0.000001)*('Thông tin lớp học'!$J$10:$J$49&gt;$A31+0.000001))&gt;1,"⚠ Trùng lịch",INDEX('Thông tin lớp học'!$G$10:$G$49,SUMPRODUCT(('Thông tin lớp học'!$H$10:$H$49=H$4)*('Thông tin lớp học'!$I$10:$I$49&lt;=$A31+0.000001)*('Thông tin lớp học'!$J$10:$J$49&gt;$A31+0.000001)*(ROW('Thông tin lớp học'!$H$10:$H$49)-9)))&amp;" ("&amp;INDEX('Thông tin lớp học'!$K$10:$K$49,SUMPRODUCT(('Thông tin lớp học'!$H$10:$H$49=H$4)*('Thông tin lớp học'!$I$10:$I$49&lt;=$A31+0.000001)*('Thông tin lớp học'!$J$10:$J$49&gt;$A31+0.000001)*(ROW('Thông tin lớp học'!$H$10:$H$49)-9)))&amp;")"))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16">
        <v>0.8125</v>
      </c>
      <c r="B32" s="123" t="str">
        <f t="array" ref="B32">IF(SUMPRODUCT(('Thông tin lớp học'!$H$10:$H$49=B$4)*('Thông tin lớp học'!$I$10:$I$49&lt;=$A32+0.000001)*('Thông tin lớp học'!$J$10:$J$49&gt;$A32+0.000001))=0,"",IF(SUMPRODUCT(('Thông tin lớp học'!$H$10:$H$49=B$4)*('Thông tin lớp học'!$I$10:$I$49&lt;=$A32+0.000001)*('Thông tin lớp học'!$J$10:$J$49&gt;$A32+0.000001))&gt;1,"⚠ Trùng lịch",INDEX('Thông tin lớp học'!$G$10:$G$49,SUMPRODUCT(('Thông tin lớp học'!$H$10:$H$49=B$4)*('Thông tin lớp học'!$I$10:$I$49&lt;=$A32+0.000001)*('Thông tin lớp học'!$J$10:$J$49&gt;$A32+0.000001)*(ROW('Thông tin lớp học'!$H$10:$H$49)-9)))&amp;" ("&amp;INDEX('Thông tin lớp học'!$K$10:$K$49,SUMPRODUCT(('Thông tin lớp học'!$H$10:$H$49=B$4)*('Thông tin lớp học'!$I$10:$I$49&lt;=$A32+0.000001)*('Thông tin lớp học'!$J$10:$J$49&gt;$A32+0.000001)*(ROW('Thông tin lớp học'!$H$10:$H$49)-9)))&amp;")"))</f>
        <v/>
      </c>
      <c r="C32" s="123" t="str">
        <f t="array" ref="C32">IF(SUMPRODUCT(('Thông tin lớp học'!$H$10:$H$49=C$4)*('Thông tin lớp học'!$I$10:$I$49&lt;=$A32+0.000001)*('Thông tin lớp học'!$J$10:$J$49&gt;$A32+0.000001))=0,"",IF(SUMPRODUCT(('Thông tin lớp học'!$H$10:$H$49=C$4)*('Thông tin lớp học'!$I$10:$I$49&lt;=$A32+0.000001)*('Thông tin lớp học'!$J$10:$J$49&gt;$A32+0.000001))&gt;1,"⚠ Trùng lịch",INDEX('Thông tin lớp học'!$G$10:$G$49,SUMPRODUCT(('Thông tin lớp học'!$H$10:$H$49=C$4)*('Thông tin lớp học'!$I$10:$I$49&lt;=$A32+0.000001)*('Thông tin lớp học'!$J$10:$J$49&gt;$A32+0.000001)*(ROW('Thông tin lớp học'!$H$10:$H$49)-9)))&amp;" ("&amp;INDEX('Thông tin lớp học'!$K$10:$K$49,SUMPRODUCT(('Thông tin lớp học'!$H$10:$H$49=C$4)*('Thông tin lớp học'!$I$10:$I$49&lt;=$A32+0.000001)*('Thông tin lớp học'!$J$10:$J$49&gt;$A32+0.000001)*(ROW('Thông tin lớp học'!$H$10:$H$49)-9)))&amp;")"))</f>
        <v/>
      </c>
      <c r="D32" s="123" t="str">
        <f t="array" ref="D32">IF(SUMPRODUCT(('Thông tin lớp học'!$H$10:$H$49=D$4)*('Thông tin lớp học'!$I$10:$I$49&lt;=$A32+0.000001)*('Thông tin lớp học'!$J$10:$J$49&gt;$A32+0.000001))=0,"",IF(SUMPRODUCT(('Thông tin lớp học'!$H$10:$H$49=D$4)*('Thông tin lớp học'!$I$10:$I$49&lt;=$A32+0.000001)*('Thông tin lớp học'!$J$10:$J$49&gt;$A32+0.000001))&gt;1,"⚠ Trùng lịch",INDEX('Thông tin lớp học'!$G$10:$G$49,SUMPRODUCT(('Thông tin lớp học'!$H$10:$H$49=D$4)*('Thông tin lớp học'!$I$10:$I$49&lt;=$A32+0.000001)*('Thông tin lớp học'!$J$10:$J$49&gt;$A32+0.000001)*(ROW('Thông tin lớp học'!$H$10:$H$49)-9)))&amp;" ("&amp;INDEX('Thông tin lớp học'!$K$10:$K$49,SUMPRODUCT(('Thông tin lớp học'!$H$10:$H$49=D$4)*('Thông tin lớp học'!$I$10:$I$49&lt;=$A32+0.000001)*('Thông tin lớp học'!$J$10:$J$49&gt;$A32+0.000001)*(ROW('Thông tin lớp học'!$H$10:$H$49)-9)))&amp;")"))</f>
        <v/>
      </c>
      <c r="E32" s="123" t="str">
        <f t="array" ref="E32">IF(SUMPRODUCT(('Thông tin lớp học'!$H$10:$H$49=E$4)*('Thông tin lớp học'!$I$10:$I$49&lt;=$A32+0.000001)*('Thông tin lớp học'!$J$10:$J$49&gt;$A32+0.000001))=0,"",IF(SUMPRODUCT(('Thông tin lớp học'!$H$10:$H$49=E$4)*('Thông tin lớp học'!$I$10:$I$49&lt;=$A32+0.000001)*('Thông tin lớp học'!$J$10:$J$49&gt;$A32+0.000001))&gt;1,"⚠ Trùng lịch",INDEX('Thông tin lớp học'!$G$10:$G$49,SUMPRODUCT(('Thông tin lớp học'!$H$10:$H$49=E$4)*('Thông tin lớp học'!$I$10:$I$49&lt;=$A32+0.000001)*('Thông tin lớp học'!$J$10:$J$49&gt;$A32+0.000001)*(ROW('Thông tin lớp học'!$H$10:$H$49)-9)))&amp;" ("&amp;INDEX('Thông tin lớp học'!$K$10:$K$49,SUMPRODUCT(('Thông tin lớp học'!$H$10:$H$49=E$4)*('Thông tin lớp học'!$I$10:$I$49&lt;=$A32+0.000001)*('Thông tin lớp học'!$J$10:$J$49&gt;$A32+0.000001)*(ROW('Thông tin lớp học'!$H$10:$H$49)-9)))&amp;")"))</f>
        <v/>
      </c>
      <c r="F32" s="123" t="str">
        <f t="array" ref="F32">IF(SUMPRODUCT(('Thông tin lớp học'!$H$10:$H$49=F$4)*('Thông tin lớp học'!$I$10:$I$49&lt;=$A32+0.000001)*('Thông tin lớp học'!$J$10:$J$49&gt;$A32+0.000001))=0,"",IF(SUMPRODUCT(('Thông tin lớp học'!$H$10:$H$49=F$4)*('Thông tin lớp học'!$I$10:$I$49&lt;=$A32+0.000001)*('Thông tin lớp học'!$J$10:$J$49&gt;$A32+0.000001))&gt;1,"⚠ Trùng lịch",INDEX('Thông tin lớp học'!$G$10:$G$49,SUMPRODUCT(('Thông tin lớp học'!$H$10:$H$49=F$4)*('Thông tin lớp học'!$I$10:$I$49&lt;=$A32+0.000001)*('Thông tin lớp học'!$J$10:$J$49&gt;$A32+0.000001)*(ROW('Thông tin lớp học'!$H$10:$H$49)-9)))&amp;" ("&amp;INDEX('Thông tin lớp học'!$K$10:$K$49,SUMPRODUCT(('Thông tin lớp học'!$H$10:$H$49=F$4)*('Thông tin lớp học'!$I$10:$I$49&lt;=$A32+0.000001)*('Thông tin lớp học'!$J$10:$J$49&gt;$A32+0.000001)*(ROW('Thông tin lớp học'!$H$10:$H$49)-9)))&amp;")"))</f>
        <v/>
      </c>
      <c r="G32" s="123" t="str">
        <f t="array" ref="G32">IF(SUMPRODUCT(('Thông tin lớp học'!$H$10:$H$49=G$4)*('Thông tin lớp học'!$I$10:$I$49&lt;=$A32+0.000001)*('Thông tin lớp học'!$J$10:$J$49&gt;$A32+0.000001))=0,"",IF(SUMPRODUCT(('Thông tin lớp học'!$H$10:$H$49=G$4)*('Thông tin lớp học'!$I$10:$I$49&lt;=$A32+0.000001)*('Thông tin lớp học'!$J$10:$J$49&gt;$A32+0.000001))&gt;1,"⚠ Trùng lịch",INDEX('Thông tin lớp học'!$G$10:$G$49,SUMPRODUCT(('Thông tin lớp học'!$H$10:$H$49=G$4)*('Thông tin lớp học'!$I$10:$I$49&lt;=$A32+0.000001)*('Thông tin lớp học'!$J$10:$J$49&gt;$A32+0.000001)*(ROW('Thông tin lớp học'!$H$10:$H$49)-9)))&amp;" ("&amp;INDEX('Thông tin lớp học'!$K$10:$K$49,SUMPRODUCT(('Thông tin lớp học'!$H$10:$H$49=G$4)*('Thông tin lớp học'!$I$10:$I$49&lt;=$A32+0.000001)*('Thông tin lớp học'!$J$10:$J$49&gt;$A32+0.000001)*(ROW('Thông tin lớp học'!$H$10:$H$49)-9)))&amp;")"))</f>
        <v/>
      </c>
      <c r="H32" s="123" t="str">
        <f t="array" ref="H32">IF(SUMPRODUCT(('Thông tin lớp học'!$H$10:$H$49=H$4)*('Thông tin lớp học'!$I$10:$I$49&lt;=$A32+0.000001)*('Thông tin lớp học'!$J$10:$J$49&gt;$A32+0.000001))=0,"",IF(SUMPRODUCT(('Thông tin lớp học'!$H$10:$H$49=H$4)*('Thông tin lớp học'!$I$10:$I$49&lt;=$A32+0.000001)*('Thông tin lớp học'!$J$10:$J$49&gt;$A32+0.000001))&gt;1,"⚠ Trùng lịch",INDEX('Thông tin lớp học'!$G$10:$G$49,SUMPRODUCT(('Thông tin lớp học'!$H$10:$H$49=H$4)*('Thông tin lớp học'!$I$10:$I$49&lt;=$A32+0.000001)*('Thông tin lớp học'!$J$10:$J$49&gt;$A32+0.000001)*(ROW('Thông tin lớp học'!$H$10:$H$49)-9)))&amp;" ("&amp;INDEX('Thông tin lớp học'!$K$10:$K$49,SUMPRODUCT(('Thông tin lớp học'!$H$10:$H$49=H$4)*('Thông tin lớp học'!$I$10:$I$49&lt;=$A32+0.000001)*('Thông tin lớp học'!$J$10:$J$49&gt;$A32+0.000001)*(ROW('Thông tin lớp học'!$H$10:$H$49)-9)))&amp;")"))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16">
        <v>0.833333333333333</v>
      </c>
      <c r="B33" s="123" t="str">
        <f t="array" ref="B33">IF(SUMPRODUCT(('Thông tin lớp học'!$H$10:$H$49=B$4)*('Thông tin lớp học'!$I$10:$I$49&lt;=$A33+0.000001)*('Thông tin lớp học'!$J$10:$J$49&gt;$A33+0.000001))=0,"",IF(SUMPRODUCT(('Thông tin lớp học'!$H$10:$H$49=B$4)*('Thông tin lớp học'!$I$10:$I$49&lt;=$A33+0.000001)*('Thông tin lớp học'!$J$10:$J$49&gt;$A33+0.000001))&gt;1,"⚠ Trùng lịch",INDEX('Thông tin lớp học'!$G$10:$G$49,SUMPRODUCT(('Thông tin lớp học'!$H$10:$H$49=B$4)*('Thông tin lớp học'!$I$10:$I$49&lt;=$A33+0.000001)*('Thông tin lớp học'!$J$10:$J$49&gt;$A33+0.000001)*(ROW('Thông tin lớp học'!$H$10:$H$49)-9)))&amp;" ("&amp;INDEX('Thông tin lớp học'!$K$10:$K$49,SUMPRODUCT(('Thông tin lớp học'!$H$10:$H$49=B$4)*('Thông tin lớp học'!$I$10:$I$49&lt;=$A33+0.000001)*('Thông tin lớp học'!$J$10:$J$49&gt;$A33+0.000001)*(ROW('Thông tin lớp học'!$H$10:$H$49)-9)))&amp;")"))</f>
        <v/>
      </c>
      <c r="C33" s="123" t="str">
        <f t="array" ref="C33">IF(SUMPRODUCT(('Thông tin lớp học'!$H$10:$H$49=C$4)*('Thông tin lớp học'!$I$10:$I$49&lt;=$A33+0.000001)*('Thông tin lớp học'!$J$10:$J$49&gt;$A33+0.000001))=0,"",IF(SUMPRODUCT(('Thông tin lớp học'!$H$10:$H$49=C$4)*('Thông tin lớp học'!$I$10:$I$49&lt;=$A33+0.000001)*('Thông tin lớp học'!$J$10:$J$49&gt;$A33+0.000001))&gt;1,"⚠ Trùng lịch",INDEX('Thông tin lớp học'!$G$10:$G$49,SUMPRODUCT(('Thông tin lớp học'!$H$10:$H$49=C$4)*('Thông tin lớp học'!$I$10:$I$49&lt;=$A33+0.000001)*('Thông tin lớp học'!$J$10:$J$49&gt;$A33+0.000001)*(ROW('Thông tin lớp học'!$H$10:$H$49)-9)))&amp;" ("&amp;INDEX('Thông tin lớp học'!$K$10:$K$49,SUMPRODUCT(('Thông tin lớp học'!$H$10:$H$49=C$4)*('Thông tin lớp học'!$I$10:$I$49&lt;=$A33+0.000001)*('Thông tin lớp học'!$J$10:$J$49&gt;$A33+0.000001)*(ROW('Thông tin lớp học'!$H$10:$H$49)-9)))&amp;")"))</f>
        <v/>
      </c>
      <c r="D33" s="123" t="str">
        <f t="array" ref="D33">IF(SUMPRODUCT(('Thông tin lớp học'!$H$10:$H$49=D$4)*('Thông tin lớp học'!$I$10:$I$49&lt;=$A33+0.000001)*('Thông tin lớp học'!$J$10:$J$49&gt;$A33+0.000001))=0,"",IF(SUMPRODUCT(('Thông tin lớp học'!$H$10:$H$49=D$4)*('Thông tin lớp học'!$I$10:$I$49&lt;=$A33+0.000001)*('Thông tin lớp học'!$J$10:$J$49&gt;$A33+0.000001))&gt;1,"⚠ Trùng lịch",INDEX('Thông tin lớp học'!$G$10:$G$49,SUMPRODUCT(('Thông tin lớp học'!$H$10:$H$49=D$4)*('Thông tin lớp học'!$I$10:$I$49&lt;=$A33+0.000001)*('Thông tin lớp học'!$J$10:$J$49&gt;$A33+0.000001)*(ROW('Thông tin lớp học'!$H$10:$H$49)-9)))&amp;" ("&amp;INDEX('Thông tin lớp học'!$K$10:$K$49,SUMPRODUCT(('Thông tin lớp học'!$H$10:$H$49=D$4)*('Thông tin lớp học'!$I$10:$I$49&lt;=$A33+0.000001)*('Thông tin lớp học'!$J$10:$J$49&gt;$A33+0.000001)*(ROW('Thông tin lớp học'!$H$10:$H$49)-9)))&amp;")"))</f>
        <v/>
      </c>
      <c r="E33" s="123" t="str">
        <f t="array" ref="E33">IF(SUMPRODUCT(('Thông tin lớp học'!$H$10:$H$49=E$4)*('Thông tin lớp học'!$I$10:$I$49&lt;=$A33+0.000001)*('Thông tin lớp học'!$J$10:$J$49&gt;$A33+0.000001))=0,"",IF(SUMPRODUCT(('Thông tin lớp học'!$H$10:$H$49=E$4)*('Thông tin lớp học'!$I$10:$I$49&lt;=$A33+0.000001)*('Thông tin lớp học'!$J$10:$J$49&gt;$A33+0.000001))&gt;1,"⚠ Trùng lịch",INDEX('Thông tin lớp học'!$G$10:$G$49,SUMPRODUCT(('Thông tin lớp học'!$H$10:$H$49=E$4)*('Thông tin lớp học'!$I$10:$I$49&lt;=$A33+0.000001)*('Thông tin lớp học'!$J$10:$J$49&gt;$A33+0.000001)*(ROW('Thông tin lớp học'!$H$10:$H$49)-9)))&amp;" ("&amp;INDEX('Thông tin lớp học'!$K$10:$K$49,SUMPRODUCT(('Thông tin lớp học'!$H$10:$H$49=E$4)*('Thông tin lớp học'!$I$10:$I$49&lt;=$A33+0.000001)*('Thông tin lớp học'!$J$10:$J$49&gt;$A33+0.000001)*(ROW('Thông tin lớp học'!$H$10:$H$49)-9)))&amp;")"))</f>
        <v/>
      </c>
      <c r="F33" s="123" t="str">
        <f t="array" ref="F33">IF(SUMPRODUCT(('Thông tin lớp học'!$H$10:$H$49=F$4)*('Thông tin lớp học'!$I$10:$I$49&lt;=$A33+0.000001)*('Thông tin lớp học'!$J$10:$J$49&gt;$A33+0.000001))=0,"",IF(SUMPRODUCT(('Thông tin lớp học'!$H$10:$H$49=F$4)*('Thông tin lớp học'!$I$10:$I$49&lt;=$A33+0.000001)*('Thông tin lớp học'!$J$10:$J$49&gt;$A33+0.000001))&gt;1,"⚠ Trùng lịch",INDEX('Thông tin lớp học'!$G$10:$G$49,SUMPRODUCT(('Thông tin lớp học'!$H$10:$H$49=F$4)*('Thông tin lớp học'!$I$10:$I$49&lt;=$A33+0.000001)*('Thông tin lớp học'!$J$10:$J$49&gt;$A33+0.000001)*(ROW('Thông tin lớp học'!$H$10:$H$49)-9)))&amp;" ("&amp;INDEX('Thông tin lớp học'!$K$10:$K$49,SUMPRODUCT(('Thông tin lớp học'!$H$10:$H$49=F$4)*('Thông tin lớp học'!$I$10:$I$49&lt;=$A33+0.000001)*('Thông tin lớp học'!$J$10:$J$49&gt;$A33+0.000001)*(ROW('Thông tin lớp học'!$H$10:$H$49)-9)))&amp;")"))</f>
        <v/>
      </c>
      <c r="G33" s="123" t="str">
        <f t="array" ref="G33">IF(SUMPRODUCT(('Thông tin lớp học'!$H$10:$H$49=G$4)*('Thông tin lớp học'!$I$10:$I$49&lt;=$A33+0.000001)*('Thông tin lớp học'!$J$10:$J$49&gt;$A33+0.000001))=0,"",IF(SUMPRODUCT(('Thông tin lớp học'!$H$10:$H$49=G$4)*('Thông tin lớp học'!$I$10:$I$49&lt;=$A33+0.000001)*('Thông tin lớp học'!$J$10:$J$49&gt;$A33+0.000001))&gt;1,"⚠ Trùng lịch",INDEX('Thông tin lớp học'!$G$10:$G$49,SUMPRODUCT(('Thông tin lớp học'!$H$10:$H$49=G$4)*('Thông tin lớp học'!$I$10:$I$49&lt;=$A33+0.000001)*('Thông tin lớp học'!$J$10:$J$49&gt;$A33+0.000001)*(ROW('Thông tin lớp học'!$H$10:$H$49)-9)))&amp;" ("&amp;INDEX('Thông tin lớp học'!$K$10:$K$49,SUMPRODUCT(('Thông tin lớp học'!$H$10:$H$49=G$4)*('Thông tin lớp học'!$I$10:$I$49&lt;=$A33+0.000001)*('Thông tin lớp học'!$J$10:$J$49&gt;$A33+0.000001)*(ROW('Thông tin lớp học'!$H$10:$H$49)-9)))&amp;")"))</f>
        <v/>
      </c>
      <c r="H33" s="123" t="str">
        <f t="array" ref="H33">IF(SUMPRODUCT(('Thông tin lớp học'!$H$10:$H$49=H$4)*('Thông tin lớp học'!$I$10:$I$49&lt;=$A33+0.000001)*('Thông tin lớp học'!$J$10:$J$49&gt;$A33+0.000001))=0,"",IF(SUMPRODUCT(('Thông tin lớp học'!$H$10:$H$49=H$4)*('Thông tin lớp học'!$I$10:$I$49&lt;=$A33+0.000001)*('Thông tin lớp học'!$J$10:$J$49&gt;$A33+0.000001))&gt;1,"⚠ Trùng lịch",INDEX('Thông tin lớp học'!$G$10:$G$49,SUMPRODUCT(('Thông tin lớp học'!$H$10:$H$49=H$4)*('Thông tin lớp học'!$I$10:$I$49&lt;=$A33+0.000001)*('Thông tin lớp học'!$J$10:$J$49&gt;$A33+0.000001)*(ROW('Thông tin lớp học'!$H$10:$H$49)-9)))&amp;" ("&amp;INDEX('Thông tin lớp học'!$K$10:$K$49,SUMPRODUCT(('Thông tin lớp học'!$H$10:$H$49=H$4)*('Thông tin lớp học'!$I$10:$I$49&lt;=$A33+0.000001)*('Thông tin lớp học'!$J$10:$J$49&gt;$A33+0.000001)*(ROW('Thông tin lớp học'!$H$10:$H$49)-9)))&amp;")"))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16">
        <v>0.854166666666667</v>
      </c>
      <c r="B34" s="123" t="str">
        <f t="array" ref="B34">IF(SUMPRODUCT(('Thông tin lớp học'!$H$10:$H$49=B$4)*('Thông tin lớp học'!$I$10:$I$49&lt;=$A34+0.000001)*('Thông tin lớp học'!$J$10:$J$49&gt;$A34+0.000001))=0,"",IF(SUMPRODUCT(('Thông tin lớp học'!$H$10:$H$49=B$4)*('Thông tin lớp học'!$I$10:$I$49&lt;=$A34+0.000001)*('Thông tin lớp học'!$J$10:$J$49&gt;$A34+0.000001))&gt;1,"⚠ Trùng lịch",INDEX('Thông tin lớp học'!$G$10:$G$49,SUMPRODUCT(('Thông tin lớp học'!$H$10:$H$49=B$4)*('Thông tin lớp học'!$I$10:$I$49&lt;=$A34+0.000001)*('Thông tin lớp học'!$J$10:$J$49&gt;$A34+0.000001)*(ROW('Thông tin lớp học'!$H$10:$H$49)-9)))&amp;" ("&amp;INDEX('Thông tin lớp học'!$K$10:$K$49,SUMPRODUCT(('Thông tin lớp học'!$H$10:$H$49=B$4)*('Thông tin lớp học'!$I$10:$I$49&lt;=$A34+0.000001)*('Thông tin lớp học'!$J$10:$J$49&gt;$A34+0.000001)*(ROW('Thông tin lớp học'!$H$10:$H$49)-9)))&amp;")"))</f>
        <v/>
      </c>
      <c r="C34" s="123" t="str">
        <f t="array" ref="C34">IF(SUMPRODUCT(('Thông tin lớp học'!$H$10:$H$49=C$4)*('Thông tin lớp học'!$I$10:$I$49&lt;=$A34+0.000001)*('Thông tin lớp học'!$J$10:$J$49&gt;$A34+0.000001))=0,"",IF(SUMPRODUCT(('Thông tin lớp học'!$H$10:$H$49=C$4)*('Thông tin lớp học'!$I$10:$I$49&lt;=$A34+0.000001)*('Thông tin lớp học'!$J$10:$J$49&gt;$A34+0.000001))&gt;1,"⚠ Trùng lịch",INDEX('Thông tin lớp học'!$G$10:$G$49,SUMPRODUCT(('Thông tin lớp học'!$H$10:$H$49=C$4)*('Thông tin lớp học'!$I$10:$I$49&lt;=$A34+0.000001)*('Thông tin lớp học'!$J$10:$J$49&gt;$A34+0.000001)*(ROW('Thông tin lớp học'!$H$10:$H$49)-9)))&amp;" ("&amp;INDEX('Thông tin lớp học'!$K$10:$K$49,SUMPRODUCT(('Thông tin lớp học'!$H$10:$H$49=C$4)*('Thông tin lớp học'!$I$10:$I$49&lt;=$A34+0.000001)*('Thông tin lớp học'!$J$10:$J$49&gt;$A34+0.000001)*(ROW('Thông tin lớp học'!$H$10:$H$49)-9)))&amp;")"))</f>
        <v/>
      </c>
      <c r="D34" s="123" t="str">
        <f t="array" ref="D34">IF(SUMPRODUCT(('Thông tin lớp học'!$H$10:$H$49=D$4)*('Thông tin lớp học'!$I$10:$I$49&lt;=$A34+0.000001)*('Thông tin lớp học'!$J$10:$J$49&gt;$A34+0.000001))=0,"",IF(SUMPRODUCT(('Thông tin lớp học'!$H$10:$H$49=D$4)*('Thông tin lớp học'!$I$10:$I$49&lt;=$A34+0.000001)*('Thông tin lớp học'!$J$10:$J$49&gt;$A34+0.000001))&gt;1,"⚠ Trùng lịch",INDEX('Thông tin lớp học'!$G$10:$G$49,SUMPRODUCT(('Thông tin lớp học'!$H$10:$H$49=D$4)*('Thông tin lớp học'!$I$10:$I$49&lt;=$A34+0.000001)*('Thông tin lớp học'!$J$10:$J$49&gt;$A34+0.000001)*(ROW('Thông tin lớp học'!$H$10:$H$49)-9)))&amp;" ("&amp;INDEX('Thông tin lớp học'!$K$10:$K$49,SUMPRODUCT(('Thông tin lớp học'!$H$10:$H$49=D$4)*('Thông tin lớp học'!$I$10:$I$49&lt;=$A34+0.000001)*('Thông tin lớp học'!$J$10:$J$49&gt;$A34+0.000001)*(ROW('Thông tin lớp học'!$H$10:$H$49)-9)))&amp;")"))</f>
        <v/>
      </c>
      <c r="E34" s="123" t="str">
        <f t="array" ref="E34">IF(SUMPRODUCT(('Thông tin lớp học'!$H$10:$H$49=E$4)*('Thông tin lớp học'!$I$10:$I$49&lt;=$A34+0.000001)*('Thông tin lớp học'!$J$10:$J$49&gt;$A34+0.000001))=0,"",IF(SUMPRODUCT(('Thông tin lớp học'!$H$10:$H$49=E$4)*('Thông tin lớp học'!$I$10:$I$49&lt;=$A34+0.000001)*('Thông tin lớp học'!$J$10:$J$49&gt;$A34+0.000001))&gt;1,"⚠ Trùng lịch",INDEX('Thông tin lớp học'!$G$10:$G$49,SUMPRODUCT(('Thông tin lớp học'!$H$10:$H$49=E$4)*('Thông tin lớp học'!$I$10:$I$49&lt;=$A34+0.000001)*('Thông tin lớp học'!$J$10:$J$49&gt;$A34+0.000001)*(ROW('Thông tin lớp học'!$H$10:$H$49)-9)))&amp;" ("&amp;INDEX('Thông tin lớp học'!$K$10:$K$49,SUMPRODUCT(('Thông tin lớp học'!$H$10:$H$49=E$4)*('Thông tin lớp học'!$I$10:$I$49&lt;=$A34+0.000001)*('Thông tin lớp học'!$J$10:$J$49&gt;$A34+0.000001)*(ROW('Thông tin lớp học'!$H$10:$H$49)-9)))&amp;")"))</f>
        <v/>
      </c>
      <c r="F34" s="123" t="str">
        <f t="array" ref="F34">IF(SUMPRODUCT(('Thông tin lớp học'!$H$10:$H$49=F$4)*('Thông tin lớp học'!$I$10:$I$49&lt;=$A34+0.000001)*('Thông tin lớp học'!$J$10:$J$49&gt;$A34+0.000001))=0,"",IF(SUMPRODUCT(('Thông tin lớp học'!$H$10:$H$49=F$4)*('Thông tin lớp học'!$I$10:$I$49&lt;=$A34+0.000001)*('Thông tin lớp học'!$J$10:$J$49&gt;$A34+0.000001))&gt;1,"⚠ Trùng lịch",INDEX('Thông tin lớp học'!$G$10:$G$49,SUMPRODUCT(('Thông tin lớp học'!$H$10:$H$49=F$4)*('Thông tin lớp học'!$I$10:$I$49&lt;=$A34+0.000001)*('Thông tin lớp học'!$J$10:$J$49&gt;$A34+0.000001)*(ROW('Thông tin lớp học'!$H$10:$H$49)-9)))&amp;" ("&amp;INDEX('Thông tin lớp học'!$K$10:$K$49,SUMPRODUCT(('Thông tin lớp học'!$H$10:$H$49=F$4)*('Thông tin lớp học'!$I$10:$I$49&lt;=$A34+0.000001)*('Thông tin lớp học'!$J$10:$J$49&gt;$A34+0.000001)*(ROW('Thông tin lớp học'!$H$10:$H$49)-9)))&amp;")"))</f>
        <v/>
      </c>
      <c r="G34" s="123" t="str">
        <f t="array" ref="G34">IF(SUMPRODUCT(('Thông tin lớp học'!$H$10:$H$49=G$4)*('Thông tin lớp học'!$I$10:$I$49&lt;=$A34+0.000001)*('Thông tin lớp học'!$J$10:$J$49&gt;$A34+0.000001))=0,"",IF(SUMPRODUCT(('Thông tin lớp học'!$H$10:$H$49=G$4)*('Thông tin lớp học'!$I$10:$I$49&lt;=$A34+0.000001)*('Thông tin lớp học'!$J$10:$J$49&gt;$A34+0.000001))&gt;1,"⚠ Trùng lịch",INDEX('Thông tin lớp học'!$G$10:$G$49,SUMPRODUCT(('Thông tin lớp học'!$H$10:$H$49=G$4)*('Thông tin lớp học'!$I$10:$I$49&lt;=$A34+0.000001)*('Thông tin lớp học'!$J$10:$J$49&gt;$A34+0.000001)*(ROW('Thông tin lớp học'!$H$10:$H$49)-9)))&amp;" ("&amp;INDEX('Thông tin lớp học'!$K$10:$K$49,SUMPRODUCT(('Thông tin lớp học'!$H$10:$H$49=G$4)*('Thông tin lớp học'!$I$10:$I$49&lt;=$A34+0.000001)*('Thông tin lớp học'!$J$10:$J$49&gt;$A34+0.000001)*(ROW('Thông tin lớp học'!$H$10:$H$49)-9)))&amp;")"))</f>
        <v/>
      </c>
      <c r="H34" s="123" t="str">
        <f t="array" ref="H34">IF(SUMPRODUCT(('Thông tin lớp học'!$H$10:$H$49=H$4)*('Thông tin lớp học'!$I$10:$I$49&lt;=$A34+0.000001)*('Thông tin lớp học'!$J$10:$J$49&gt;$A34+0.000001))=0,"",IF(SUMPRODUCT(('Thông tin lớp học'!$H$10:$H$49=H$4)*('Thông tin lớp học'!$I$10:$I$49&lt;=$A34+0.000001)*('Thông tin lớp học'!$J$10:$J$49&gt;$A34+0.000001))&gt;1,"⚠ Trùng lịch",INDEX('Thông tin lớp học'!$G$10:$G$49,SUMPRODUCT(('Thông tin lớp học'!$H$10:$H$49=H$4)*('Thông tin lớp học'!$I$10:$I$49&lt;=$A34+0.000001)*('Thông tin lớp học'!$J$10:$J$49&gt;$A34+0.000001)*(ROW('Thông tin lớp học'!$H$10:$H$49)-9)))&amp;" ("&amp;INDEX('Thông tin lớp học'!$K$10:$K$49,SUMPRODUCT(('Thông tin lớp học'!$H$10:$H$49=H$4)*('Thông tin lớp học'!$I$10:$I$49&lt;=$A34+0.000001)*('Thông tin lớp học'!$J$10:$J$49&gt;$A34+0.000001)*(ROW('Thông tin lớp học'!$H$10:$H$49)-9)))&amp;")"))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16">
        <v>0.875</v>
      </c>
      <c r="B35" s="123" t="str">
        <f t="array" ref="B35">IF(SUMPRODUCT(('Thông tin lớp học'!$H$10:$H$49=B$4)*('Thông tin lớp học'!$I$10:$I$49&lt;=$A35+0.000001)*('Thông tin lớp học'!$J$10:$J$49&gt;$A35+0.000001))=0,"",IF(SUMPRODUCT(('Thông tin lớp học'!$H$10:$H$49=B$4)*('Thông tin lớp học'!$I$10:$I$49&lt;=$A35+0.000001)*('Thông tin lớp học'!$J$10:$J$49&gt;$A35+0.000001))&gt;1,"⚠ Trùng lịch",INDEX('Thông tin lớp học'!$G$10:$G$49,SUMPRODUCT(('Thông tin lớp học'!$H$10:$H$49=B$4)*('Thông tin lớp học'!$I$10:$I$49&lt;=$A35+0.000001)*('Thông tin lớp học'!$J$10:$J$49&gt;$A35+0.000001)*(ROW('Thông tin lớp học'!$H$10:$H$49)-9)))&amp;" ("&amp;INDEX('Thông tin lớp học'!$K$10:$K$49,SUMPRODUCT(('Thông tin lớp học'!$H$10:$H$49=B$4)*('Thông tin lớp học'!$I$10:$I$49&lt;=$A35+0.000001)*('Thông tin lớp học'!$J$10:$J$49&gt;$A35+0.000001)*(ROW('Thông tin lớp học'!$H$10:$H$49)-9)))&amp;")"))</f>
        <v/>
      </c>
      <c r="C35" s="123" t="str">
        <f t="array" ref="C35">IF(SUMPRODUCT(('Thông tin lớp học'!$H$10:$H$49=C$4)*('Thông tin lớp học'!$I$10:$I$49&lt;=$A35+0.000001)*('Thông tin lớp học'!$J$10:$J$49&gt;$A35+0.000001))=0,"",IF(SUMPRODUCT(('Thông tin lớp học'!$H$10:$H$49=C$4)*('Thông tin lớp học'!$I$10:$I$49&lt;=$A35+0.000001)*('Thông tin lớp học'!$J$10:$J$49&gt;$A35+0.000001))&gt;1,"⚠ Trùng lịch",INDEX('Thông tin lớp học'!$G$10:$G$49,SUMPRODUCT(('Thông tin lớp học'!$H$10:$H$49=C$4)*('Thông tin lớp học'!$I$10:$I$49&lt;=$A35+0.000001)*('Thông tin lớp học'!$J$10:$J$49&gt;$A35+0.000001)*(ROW('Thông tin lớp học'!$H$10:$H$49)-9)))&amp;" ("&amp;INDEX('Thông tin lớp học'!$K$10:$K$49,SUMPRODUCT(('Thông tin lớp học'!$H$10:$H$49=C$4)*('Thông tin lớp học'!$I$10:$I$49&lt;=$A35+0.000001)*('Thông tin lớp học'!$J$10:$J$49&gt;$A35+0.000001)*(ROW('Thông tin lớp học'!$H$10:$H$49)-9)))&amp;")"))</f>
        <v/>
      </c>
      <c r="D35" s="123" t="str">
        <f t="array" ref="D35">IF(SUMPRODUCT(('Thông tin lớp học'!$H$10:$H$49=D$4)*('Thông tin lớp học'!$I$10:$I$49&lt;=$A35+0.000001)*('Thông tin lớp học'!$J$10:$J$49&gt;$A35+0.000001))=0,"",IF(SUMPRODUCT(('Thông tin lớp học'!$H$10:$H$49=D$4)*('Thông tin lớp học'!$I$10:$I$49&lt;=$A35+0.000001)*('Thông tin lớp học'!$J$10:$J$49&gt;$A35+0.000001))&gt;1,"⚠ Trùng lịch",INDEX('Thông tin lớp học'!$G$10:$G$49,SUMPRODUCT(('Thông tin lớp học'!$H$10:$H$49=D$4)*('Thông tin lớp học'!$I$10:$I$49&lt;=$A35+0.000001)*('Thông tin lớp học'!$J$10:$J$49&gt;$A35+0.000001)*(ROW('Thông tin lớp học'!$H$10:$H$49)-9)))&amp;" ("&amp;INDEX('Thông tin lớp học'!$K$10:$K$49,SUMPRODUCT(('Thông tin lớp học'!$H$10:$H$49=D$4)*('Thông tin lớp học'!$I$10:$I$49&lt;=$A35+0.000001)*('Thông tin lớp học'!$J$10:$J$49&gt;$A35+0.000001)*(ROW('Thông tin lớp học'!$H$10:$H$49)-9)))&amp;")"))</f>
        <v/>
      </c>
      <c r="E35" s="123" t="str">
        <f t="array" ref="E35">IF(SUMPRODUCT(('Thông tin lớp học'!$H$10:$H$49=E$4)*('Thông tin lớp học'!$I$10:$I$49&lt;=$A35+0.000001)*('Thông tin lớp học'!$J$10:$J$49&gt;$A35+0.000001))=0,"",IF(SUMPRODUCT(('Thông tin lớp học'!$H$10:$H$49=E$4)*('Thông tin lớp học'!$I$10:$I$49&lt;=$A35+0.000001)*('Thông tin lớp học'!$J$10:$J$49&gt;$A35+0.000001))&gt;1,"⚠ Trùng lịch",INDEX('Thông tin lớp học'!$G$10:$G$49,SUMPRODUCT(('Thông tin lớp học'!$H$10:$H$49=E$4)*('Thông tin lớp học'!$I$10:$I$49&lt;=$A35+0.000001)*('Thông tin lớp học'!$J$10:$J$49&gt;$A35+0.000001)*(ROW('Thông tin lớp học'!$H$10:$H$49)-9)))&amp;" ("&amp;INDEX('Thông tin lớp học'!$K$10:$K$49,SUMPRODUCT(('Thông tin lớp học'!$H$10:$H$49=E$4)*('Thông tin lớp học'!$I$10:$I$49&lt;=$A35+0.000001)*('Thông tin lớp học'!$J$10:$J$49&gt;$A35+0.000001)*(ROW('Thông tin lớp học'!$H$10:$H$49)-9)))&amp;")"))</f>
        <v/>
      </c>
      <c r="F35" s="123" t="str">
        <f t="array" ref="F35">IF(SUMPRODUCT(('Thông tin lớp học'!$H$10:$H$49=F$4)*('Thông tin lớp học'!$I$10:$I$49&lt;=$A35+0.000001)*('Thông tin lớp học'!$J$10:$J$49&gt;$A35+0.000001))=0,"",IF(SUMPRODUCT(('Thông tin lớp học'!$H$10:$H$49=F$4)*('Thông tin lớp học'!$I$10:$I$49&lt;=$A35+0.000001)*('Thông tin lớp học'!$J$10:$J$49&gt;$A35+0.000001))&gt;1,"⚠ Trùng lịch",INDEX('Thông tin lớp học'!$G$10:$G$49,SUMPRODUCT(('Thông tin lớp học'!$H$10:$H$49=F$4)*('Thông tin lớp học'!$I$10:$I$49&lt;=$A35+0.000001)*('Thông tin lớp học'!$J$10:$J$49&gt;$A35+0.000001)*(ROW('Thông tin lớp học'!$H$10:$H$49)-9)))&amp;" ("&amp;INDEX('Thông tin lớp học'!$K$10:$K$49,SUMPRODUCT(('Thông tin lớp học'!$H$10:$H$49=F$4)*('Thông tin lớp học'!$I$10:$I$49&lt;=$A35+0.000001)*('Thông tin lớp học'!$J$10:$J$49&gt;$A35+0.000001)*(ROW('Thông tin lớp học'!$H$10:$H$49)-9)))&amp;")"))</f>
        <v/>
      </c>
      <c r="G35" s="123" t="str">
        <f t="array" ref="G35">IF(SUMPRODUCT(('Thông tin lớp học'!$H$10:$H$49=G$4)*('Thông tin lớp học'!$I$10:$I$49&lt;=$A35+0.000001)*('Thông tin lớp học'!$J$10:$J$49&gt;$A35+0.000001))=0,"",IF(SUMPRODUCT(('Thông tin lớp học'!$H$10:$H$49=G$4)*('Thông tin lớp học'!$I$10:$I$49&lt;=$A35+0.000001)*('Thông tin lớp học'!$J$10:$J$49&gt;$A35+0.000001))&gt;1,"⚠ Trùng lịch",INDEX('Thông tin lớp học'!$G$10:$G$49,SUMPRODUCT(('Thông tin lớp học'!$H$10:$H$49=G$4)*('Thông tin lớp học'!$I$10:$I$49&lt;=$A35+0.000001)*('Thông tin lớp học'!$J$10:$J$49&gt;$A35+0.000001)*(ROW('Thông tin lớp học'!$H$10:$H$49)-9)))&amp;" ("&amp;INDEX('Thông tin lớp học'!$K$10:$K$49,SUMPRODUCT(('Thông tin lớp học'!$H$10:$H$49=G$4)*('Thông tin lớp học'!$I$10:$I$49&lt;=$A35+0.000001)*('Thông tin lớp học'!$J$10:$J$49&gt;$A35+0.000001)*(ROW('Thông tin lớp học'!$H$10:$H$49)-9)))&amp;")"))</f>
        <v/>
      </c>
      <c r="H35" s="123" t="str">
        <f t="array" ref="H35">IF(SUMPRODUCT(('Thông tin lớp học'!$H$10:$H$49=H$4)*('Thông tin lớp học'!$I$10:$I$49&lt;=$A35+0.000001)*('Thông tin lớp học'!$J$10:$J$49&gt;$A35+0.000001))=0,"",IF(SUMPRODUCT(('Thông tin lớp học'!$H$10:$H$49=H$4)*('Thông tin lớp học'!$I$10:$I$49&lt;=$A35+0.000001)*('Thông tin lớp học'!$J$10:$J$49&gt;$A35+0.000001))&gt;1,"⚠ Trùng lịch",INDEX('Thông tin lớp học'!$G$10:$G$49,SUMPRODUCT(('Thông tin lớp học'!$H$10:$H$49=H$4)*('Thông tin lớp học'!$I$10:$I$49&lt;=$A35+0.000001)*('Thông tin lớp học'!$J$10:$J$49&gt;$A35+0.000001)*(ROW('Thông tin lớp học'!$H$10:$H$49)-9)))&amp;" ("&amp;INDEX('Thông tin lớp học'!$K$10:$K$49,SUMPRODUCT(('Thông tin lớp học'!$H$10:$H$49=H$4)*('Thông tin lớp học'!$I$10:$I$49&lt;=$A35+0.000001)*('Thông tin lớp học'!$J$10:$J$49&gt;$A35+0.000001)*(ROW('Thông tin lớp học'!$H$10:$H$49)-9)))&amp;")"))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16">
        <v>0.895833333333333</v>
      </c>
      <c r="B36" s="123" t="str">
        <f t="array" ref="B36">IF(SUMPRODUCT(('Thông tin lớp học'!$H$10:$H$49=B$4)*('Thông tin lớp học'!$I$10:$I$49&lt;=$A36+0.000001)*('Thông tin lớp học'!$J$10:$J$49&gt;$A36+0.000001))=0,"",IF(SUMPRODUCT(('Thông tin lớp học'!$H$10:$H$49=B$4)*('Thông tin lớp học'!$I$10:$I$49&lt;=$A36+0.000001)*('Thông tin lớp học'!$J$10:$J$49&gt;$A36+0.000001))&gt;1,"⚠ Trùng lịch",INDEX('Thông tin lớp học'!$G$10:$G$49,SUMPRODUCT(('Thông tin lớp học'!$H$10:$H$49=B$4)*('Thông tin lớp học'!$I$10:$I$49&lt;=$A36+0.000001)*('Thông tin lớp học'!$J$10:$J$49&gt;$A36+0.000001)*(ROW('Thông tin lớp học'!$H$10:$H$49)-9)))&amp;" ("&amp;INDEX('Thông tin lớp học'!$K$10:$K$49,SUMPRODUCT(('Thông tin lớp học'!$H$10:$H$49=B$4)*('Thông tin lớp học'!$I$10:$I$49&lt;=$A36+0.000001)*('Thông tin lớp học'!$J$10:$J$49&gt;$A36+0.000001)*(ROW('Thông tin lớp học'!$H$10:$H$49)-9)))&amp;")"))</f>
        <v/>
      </c>
      <c r="C36" s="123" t="str">
        <f t="array" ref="C36">IF(SUMPRODUCT(('Thông tin lớp học'!$H$10:$H$49=C$4)*('Thông tin lớp học'!$I$10:$I$49&lt;=$A36+0.000001)*('Thông tin lớp học'!$J$10:$J$49&gt;$A36+0.000001))=0,"",IF(SUMPRODUCT(('Thông tin lớp học'!$H$10:$H$49=C$4)*('Thông tin lớp học'!$I$10:$I$49&lt;=$A36+0.000001)*('Thông tin lớp học'!$J$10:$J$49&gt;$A36+0.000001))&gt;1,"⚠ Trùng lịch",INDEX('Thông tin lớp học'!$G$10:$G$49,SUMPRODUCT(('Thông tin lớp học'!$H$10:$H$49=C$4)*('Thông tin lớp học'!$I$10:$I$49&lt;=$A36+0.000001)*('Thông tin lớp học'!$J$10:$J$49&gt;$A36+0.000001)*(ROW('Thông tin lớp học'!$H$10:$H$49)-9)))&amp;" ("&amp;INDEX('Thông tin lớp học'!$K$10:$K$49,SUMPRODUCT(('Thông tin lớp học'!$H$10:$H$49=C$4)*('Thông tin lớp học'!$I$10:$I$49&lt;=$A36+0.000001)*('Thông tin lớp học'!$J$10:$J$49&gt;$A36+0.000001)*(ROW('Thông tin lớp học'!$H$10:$H$49)-9)))&amp;")"))</f>
        <v/>
      </c>
      <c r="D36" s="123" t="str">
        <f t="array" ref="D36">IF(SUMPRODUCT(('Thông tin lớp học'!$H$10:$H$49=D$4)*('Thông tin lớp học'!$I$10:$I$49&lt;=$A36+0.000001)*('Thông tin lớp học'!$J$10:$J$49&gt;$A36+0.000001))=0,"",IF(SUMPRODUCT(('Thông tin lớp học'!$H$10:$H$49=D$4)*('Thông tin lớp học'!$I$10:$I$49&lt;=$A36+0.000001)*('Thông tin lớp học'!$J$10:$J$49&gt;$A36+0.000001))&gt;1,"⚠ Trùng lịch",INDEX('Thông tin lớp học'!$G$10:$G$49,SUMPRODUCT(('Thông tin lớp học'!$H$10:$H$49=D$4)*('Thông tin lớp học'!$I$10:$I$49&lt;=$A36+0.000001)*('Thông tin lớp học'!$J$10:$J$49&gt;$A36+0.000001)*(ROW('Thông tin lớp học'!$H$10:$H$49)-9)))&amp;" ("&amp;INDEX('Thông tin lớp học'!$K$10:$K$49,SUMPRODUCT(('Thông tin lớp học'!$H$10:$H$49=D$4)*('Thông tin lớp học'!$I$10:$I$49&lt;=$A36+0.000001)*('Thông tin lớp học'!$J$10:$J$49&gt;$A36+0.000001)*(ROW('Thông tin lớp học'!$H$10:$H$49)-9)))&amp;")"))</f>
        <v/>
      </c>
      <c r="E36" s="123" t="str">
        <f t="array" ref="E36">IF(SUMPRODUCT(('Thông tin lớp học'!$H$10:$H$49=E$4)*('Thông tin lớp học'!$I$10:$I$49&lt;=$A36+0.000001)*('Thông tin lớp học'!$J$10:$J$49&gt;$A36+0.000001))=0,"",IF(SUMPRODUCT(('Thông tin lớp học'!$H$10:$H$49=E$4)*('Thông tin lớp học'!$I$10:$I$49&lt;=$A36+0.000001)*('Thông tin lớp học'!$J$10:$J$49&gt;$A36+0.000001))&gt;1,"⚠ Trùng lịch",INDEX('Thông tin lớp học'!$G$10:$G$49,SUMPRODUCT(('Thông tin lớp học'!$H$10:$H$49=E$4)*('Thông tin lớp học'!$I$10:$I$49&lt;=$A36+0.000001)*('Thông tin lớp học'!$J$10:$J$49&gt;$A36+0.000001)*(ROW('Thông tin lớp học'!$H$10:$H$49)-9)))&amp;" ("&amp;INDEX('Thông tin lớp học'!$K$10:$K$49,SUMPRODUCT(('Thông tin lớp học'!$H$10:$H$49=E$4)*('Thông tin lớp học'!$I$10:$I$49&lt;=$A36+0.000001)*('Thông tin lớp học'!$J$10:$J$49&gt;$A36+0.000001)*(ROW('Thông tin lớp học'!$H$10:$H$49)-9)))&amp;")"))</f>
        <v/>
      </c>
      <c r="F36" s="123" t="str">
        <f t="array" ref="F36">IF(SUMPRODUCT(('Thông tin lớp học'!$H$10:$H$49=F$4)*('Thông tin lớp học'!$I$10:$I$49&lt;=$A36+0.000001)*('Thông tin lớp học'!$J$10:$J$49&gt;$A36+0.000001))=0,"",IF(SUMPRODUCT(('Thông tin lớp học'!$H$10:$H$49=F$4)*('Thông tin lớp học'!$I$10:$I$49&lt;=$A36+0.000001)*('Thông tin lớp học'!$J$10:$J$49&gt;$A36+0.000001))&gt;1,"⚠ Trùng lịch",INDEX('Thông tin lớp học'!$G$10:$G$49,SUMPRODUCT(('Thông tin lớp học'!$H$10:$H$49=F$4)*('Thông tin lớp học'!$I$10:$I$49&lt;=$A36+0.000001)*('Thông tin lớp học'!$J$10:$J$49&gt;$A36+0.000001)*(ROW('Thông tin lớp học'!$H$10:$H$49)-9)))&amp;" ("&amp;INDEX('Thông tin lớp học'!$K$10:$K$49,SUMPRODUCT(('Thông tin lớp học'!$H$10:$H$49=F$4)*('Thông tin lớp học'!$I$10:$I$49&lt;=$A36+0.000001)*('Thông tin lớp học'!$J$10:$J$49&gt;$A36+0.000001)*(ROW('Thông tin lớp học'!$H$10:$H$49)-9)))&amp;")"))</f>
        <v/>
      </c>
      <c r="G36" s="123" t="str">
        <f t="array" ref="G36">IF(SUMPRODUCT(('Thông tin lớp học'!$H$10:$H$49=G$4)*('Thông tin lớp học'!$I$10:$I$49&lt;=$A36+0.000001)*('Thông tin lớp học'!$J$10:$J$49&gt;$A36+0.000001))=0,"",IF(SUMPRODUCT(('Thông tin lớp học'!$H$10:$H$49=G$4)*('Thông tin lớp học'!$I$10:$I$49&lt;=$A36+0.000001)*('Thông tin lớp học'!$J$10:$J$49&gt;$A36+0.000001))&gt;1,"⚠ Trùng lịch",INDEX('Thông tin lớp học'!$G$10:$G$49,SUMPRODUCT(('Thông tin lớp học'!$H$10:$H$49=G$4)*('Thông tin lớp học'!$I$10:$I$49&lt;=$A36+0.000001)*('Thông tin lớp học'!$J$10:$J$49&gt;$A36+0.000001)*(ROW('Thông tin lớp học'!$H$10:$H$49)-9)))&amp;" ("&amp;INDEX('Thông tin lớp học'!$K$10:$K$49,SUMPRODUCT(('Thông tin lớp học'!$H$10:$H$49=G$4)*('Thông tin lớp học'!$I$10:$I$49&lt;=$A36+0.000001)*('Thông tin lớp học'!$J$10:$J$49&gt;$A36+0.000001)*(ROW('Thông tin lớp học'!$H$10:$H$49)-9)))&amp;")"))</f>
        <v/>
      </c>
      <c r="H36" s="123" t="str">
        <f t="array" ref="H36">IF(SUMPRODUCT(('Thông tin lớp học'!$H$10:$H$49=H$4)*('Thông tin lớp học'!$I$10:$I$49&lt;=$A36+0.000001)*('Thông tin lớp học'!$J$10:$J$49&gt;$A36+0.000001))=0,"",IF(SUMPRODUCT(('Thông tin lớp học'!$H$10:$H$49=H$4)*('Thông tin lớp học'!$I$10:$I$49&lt;=$A36+0.000001)*('Thông tin lớp học'!$J$10:$J$49&gt;$A36+0.000001))&gt;1,"⚠ Trùng lịch",INDEX('Thông tin lớp học'!$G$10:$G$49,SUMPRODUCT(('Thông tin lớp học'!$H$10:$H$49=H$4)*('Thông tin lớp học'!$I$10:$I$49&lt;=$A36+0.000001)*('Thông tin lớp học'!$J$10:$J$49&gt;$A36+0.000001)*(ROW('Thông tin lớp học'!$H$10:$H$49)-9)))&amp;" ("&amp;INDEX('Thông tin lớp học'!$K$10:$K$49,SUMPRODUCT(('Thông tin lớp học'!$H$10:$H$49=H$4)*('Thông tin lớp học'!$I$10:$I$49&lt;=$A36+0.000001)*('Thông tin lớp học'!$J$10:$J$49&gt;$A36+0.000001)*(ROW('Thông tin lớp học'!$H$10:$H$49)-9)))&amp;")"))</f>
        <v/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H2"/>
  </mergeCells>
  <conditionalFormatting sqref="B5:H36">
    <cfRule type="expression" dxfId="23" priority="1">
      <formula>ISNUMBER(SEARCH("Trùng",B5))</formula>
    </cfRule>
  </conditionalFormatting>
  <conditionalFormatting sqref="B5:H36">
    <cfRule type="expression" dxfId="8" priority="2">
      <formula>B5&lt;&gt;""</formula>
    </cfRule>
  </conditionalFormatting>
  <hyperlinks>
    <hyperlink display="⌂ Về Dashboard" location="Dashboard!A1" ref="H1"/>
    <hyperlink display="⌂ Về Dashboard" location="Dashboard!A1" ref="J1"/>
  </hyperlink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86"/>
    <col customWidth="1" min="2" max="8" width="16.57"/>
    <col customWidth="1" min="9" max="26" width="8.71"/>
  </cols>
  <sheetData>
    <row r="1" ht="30.0" customHeight="1">
      <c r="A1" s="107" t="s">
        <v>169</v>
      </c>
      <c r="B1" s="108"/>
      <c r="C1" s="108"/>
      <c r="D1" s="108"/>
      <c r="E1" s="108"/>
      <c r="F1" s="108"/>
      <c r="G1" s="109"/>
      <c r="H1" s="111" t="s">
        <v>2</v>
      </c>
      <c r="I1" s="7"/>
      <c r="J1" s="112" t="s">
        <v>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172</v>
      </c>
      <c r="D3" s="129">
        <f>TODAY()</f>
        <v>46306</v>
      </c>
      <c r="E3" s="12" t="s">
        <v>174</v>
      </c>
      <c r="F3" s="129">
        <f>D3-WEEKDAY(D3,2)+1</f>
        <v>46300</v>
      </c>
      <c r="G3" s="12" t="s">
        <v>175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0" t="s">
        <v>155</v>
      </c>
      <c r="B4" s="132" t="str">
        <f t="shared" ref="B4:H4" si="1">CHOOSE(WEEKDAY(B5,2),"Thứ Hai","Thứ Ba","Thứ Tư","Thứ Năm","Thứ Sáu","Thứ Bảy","Chủ Nhật")</f>
        <v>Thứ Hai</v>
      </c>
      <c r="C4" s="132" t="str">
        <f t="shared" si="1"/>
        <v>Thứ Ba</v>
      </c>
      <c r="D4" s="132" t="str">
        <f t="shared" si="1"/>
        <v>Thứ Tư</v>
      </c>
      <c r="E4" s="132" t="str">
        <f t="shared" si="1"/>
        <v>Thứ Năm</v>
      </c>
      <c r="F4" s="132" t="str">
        <f t="shared" si="1"/>
        <v>Thứ Sáu</v>
      </c>
      <c r="G4" s="132" t="str">
        <f t="shared" si="1"/>
        <v>Thứ Bảy</v>
      </c>
      <c r="H4" s="132" t="str">
        <f t="shared" si="1"/>
        <v>Chủ Nhật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4"/>
      <c r="B5" s="137">
        <f>$F$3</f>
        <v>46300</v>
      </c>
      <c r="C5" s="137">
        <f t="shared" ref="C5:H5" si="2">B5+1</f>
        <v>46301</v>
      </c>
      <c r="D5" s="137">
        <f t="shared" si="2"/>
        <v>46302</v>
      </c>
      <c r="E5" s="137">
        <f t="shared" si="2"/>
        <v>46303</v>
      </c>
      <c r="F5" s="137">
        <f t="shared" si="2"/>
        <v>46304</v>
      </c>
      <c r="G5" s="137">
        <f t="shared" si="2"/>
        <v>46305</v>
      </c>
      <c r="H5" s="137">
        <f t="shared" si="2"/>
        <v>46306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6">
        <v>0.25</v>
      </c>
      <c r="B6" s="123" t="str">
        <f t="array" ref="B6">IF(SUMPRODUCT(('Hoạt động'!$A$5:$A$104=B$5)*('Hoạt động'!$B$5:$B$104&lt;=$A6+0.000001)*('Hoạt động'!$C$5:$C$104&gt;$A6+0.000001))+SUMPRODUCT(('Thông tin lớp học'!$H$10:$H$49=B$4)*('Thông tin lớp học'!$I$10:$I$49&lt;=$A6+0.000001)*('Thông tin lớp học'!$J$10:$J$49&gt;$A6+0.000001))=0,"",IF(SUMPRODUCT(('Hoạt động'!$A$5:$A$104=B$5)*('Hoạt động'!$B$5:$B$104&lt;=$A6+0.000001)*('Hoạt động'!$C$5:$C$104&gt;$A6+0.000001))+SUMPRODUCT(('Thông tin lớp học'!$H$10:$H$49=B$4)*('Thông tin lớp học'!$I$10:$I$49&lt;=$A6+0.000001)*('Thông tin lớp học'!$J$10:$J$49&gt;$A6+0.000001))&gt;1,"⚠ Trùng lịch",IF(SUMPRODUCT(('Hoạt động'!$A$5:$A$104=B$5)*('Hoạt động'!$B$5:$B$104&lt;=$A6+0.000001)*('Hoạt động'!$C$5:$C$104&gt;$A6+0.000001))=1,INDEX('Hoạt động'!$D$5:$D$104,SUMPRODUCT(('Hoạt động'!$A$5:$A$104=B$5)*('Hoạt động'!$B$5:$B$104&lt;=$A6+0.000001)*('Hoạt động'!$C$5:$C$104&gt;$A6+0.000001)*(ROW('Hoạt động'!$A$5:$A$104)-4))),INDEX('Thông tin lớp học'!$G$10:$G$49,SUMPRODUCT(('Thông tin lớp học'!$H$10:$H$49=B$4)*('Thông tin lớp học'!$I$10:$I$49&lt;=$A6+0.000001)*('Thông tin lớp học'!$J$10:$J$49&gt;$A6+0.000001)*(ROW('Thông tin lớp học'!$H$10:$H$49)-9))))))</f>
        <v/>
      </c>
      <c r="C6" s="123" t="str">
        <f t="array" ref="C6">IF(SUMPRODUCT(('Hoạt động'!$A$5:$A$104=C$5)*('Hoạt động'!$B$5:$B$104&lt;=$A6+0.000001)*('Hoạt động'!$C$5:$C$104&gt;$A6+0.000001))+SUMPRODUCT(('Thông tin lớp học'!$H$10:$H$49=C$4)*('Thông tin lớp học'!$I$10:$I$49&lt;=$A6+0.000001)*('Thông tin lớp học'!$J$10:$J$49&gt;$A6+0.000001))=0,"",IF(SUMPRODUCT(('Hoạt động'!$A$5:$A$104=C$5)*('Hoạt động'!$B$5:$B$104&lt;=$A6+0.000001)*('Hoạt động'!$C$5:$C$104&gt;$A6+0.000001))+SUMPRODUCT(('Thông tin lớp học'!$H$10:$H$49=C$4)*('Thông tin lớp học'!$I$10:$I$49&lt;=$A6+0.000001)*('Thông tin lớp học'!$J$10:$J$49&gt;$A6+0.000001))&gt;1,"⚠ Trùng lịch",IF(SUMPRODUCT(('Hoạt động'!$A$5:$A$104=C$5)*('Hoạt động'!$B$5:$B$104&lt;=$A6+0.000001)*('Hoạt động'!$C$5:$C$104&gt;$A6+0.000001))=1,INDEX('Hoạt động'!$D$5:$D$104,SUMPRODUCT(('Hoạt động'!$A$5:$A$104=C$5)*('Hoạt động'!$B$5:$B$104&lt;=$A6+0.000001)*('Hoạt động'!$C$5:$C$104&gt;$A6+0.000001)*(ROW('Hoạt động'!$A$5:$A$104)-4))),INDEX('Thông tin lớp học'!$G$10:$G$49,SUMPRODUCT(('Thông tin lớp học'!$H$10:$H$49=C$4)*('Thông tin lớp học'!$I$10:$I$49&lt;=$A6+0.000001)*('Thông tin lớp học'!$J$10:$J$49&gt;$A6+0.000001)*(ROW('Thông tin lớp học'!$H$10:$H$49)-9))))))</f>
        <v/>
      </c>
      <c r="D6" s="123" t="str">
        <f t="array" ref="D6">IF(SUMPRODUCT(('Hoạt động'!$A$5:$A$104=D$5)*('Hoạt động'!$B$5:$B$104&lt;=$A6+0.000001)*('Hoạt động'!$C$5:$C$104&gt;$A6+0.000001))+SUMPRODUCT(('Thông tin lớp học'!$H$10:$H$49=D$4)*('Thông tin lớp học'!$I$10:$I$49&lt;=$A6+0.000001)*('Thông tin lớp học'!$J$10:$J$49&gt;$A6+0.000001))=0,"",IF(SUMPRODUCT(('Hoạt động'!$A$5:$A$104=D$5)*('Hoạt động'!$B$5:$B$104&lt;=$A6+0.000001)*('Hoạt động'!$C$5:$C$104&gt;$A6+0.000001))+SUMPRODUCT(('Thông tin lớp học'!$H$10:$H$49=D$4)*('Thông tin lớp học'!$I$10:$I$49&lt;=$A6+0.000001)*('Thông tin lớp học'!$J$10:$J$49&gt;$A6+0.000001))&gt;1,"⚠ Trùng lịch",IF(SUMPRODUCT(('Hoạt động'!$A$5:$A$104=D$5)*('Hoạt động'!$B$5:$B$104&lt;=$A6+0.000001)*('Hoạt động'!$C$5:$C$104&gt;$A6+0.000001))=1,INDEX('Hoạt động'!$D$5:$D$104,SUMPRODUCT(('Hoạt động'!$A$5:$A$104=D$5)*('Hoạt động'!$B$5:$B$104&lt;=$A6+0.000001)*('Hoạt động'!$C$5:$C$104&gt;$A6+0.000001)*(ROW('Hoạt động'!$A$5:$A$104)-4))),INDEX('Thông tin lớp học'!$G$10:$G$49,SUMPRODUCT(('Thông tin lớp học'!$H$10:$H$49=D$4)*('Thông tin lớp học'!$I$10:$I$49&lt;=$A6+0.000001)*('Thông tin lớp học'!$J$10:$J$49&gt;$A6+0.000001)*(ROW('Thông tin lớp học'!$H$10:$H$49)-9))))))</f>
        <v/>
      </c>
      <c r="E6" s="123" t="str">
        <f t="array" ref="E6">IF(SUMPRODUCT(('Hoạt động'!$A$5:$A$104=E$5)*('Hoạt động'!$B$5:$B$104&lt;=$A6+0.000001)*('Hoạt động'!$C$5:$C$104&gt;$A6+0.000001))+SUMPRODUCT(('Thông tin lớp học'!$H$10:$H$49=E$4)*('Thông tin lớp học'!$I$10:$I$49&lt;=$A6+0.000001)*('Thông tin lớp học'!$J$10:$J$49&gt;$A6+0.000001))=0,"",IF(SUMPRODUCT(('Hoạt động'!$A$5:$A$104=E$5)*('Hoạt động'!$B$5:$B$104&lt;=$A6+0.000001)*('Hoạt động'!$C$5:$C$104&gt;$A6+0.000001))+SUMPRODUCT(('Thông tin lớp học'!$H$10:$H$49=E$4)*('Thông tin lớp học'!$I$10:$I$49&lt;=$A6+0.000001)*('Thông tin lớp học'!$J$10:$J$49&gt;$A6+0.000001))&gt;1,"⚠ Trùng lịch",IF(SUMPRODUCT(('Hoạt động'!$A$5:$A$104=E$5)*('Hoạt động'!$B$5:$B$104&lt;=$A6+0.000001)*('Hoạt động'!$C$5:$C$104&gt;$A6+0.000001))=1,INDEX('Hoạt động'!$D$5:$D$104,SUMPRODUCT(('Hoạt động'!$A$5:$A$104=E$5)*('Hoạt động'!$B$5:$B$104&lt;=$A6+0.000001)*('Hoạt động'!$C$5:$C$104&gt;$A6+0.000001)*(ROW('Hoạt động'!$A$5:$A$104)-4))),INDEX('Thông tin lớp học'!$G$10:$G$49,SUMPRODUCT(('Thông tin lớp học'!$H$10:$H$49=E$4)*('Thông tin lớp học'!$I$10:$I$49&lt;=$A6+0.000001)*('Thông tin lớp học'!$J$10:$J$49&gt;$A6+0.000001)*(ROW('Thông tin lớp học'!$H$10:$H$49)-9))))))</f>
        <v/>
      </c>
      <c r="F6" s="123" t="str">
        <f t="array" ref="F6">IF(SUMPRODUCT(('Hoạt động'!$A$5:$A$104=F$5)*('Hoạt động'!$B$5:$B$104&lt;=$A6+0.000001)*('Hoạt động'!$C$5:$C$104&gt;$A6+0.000001))+SUMPRODUCT(('Thông tin lớp học'!$H$10:$H$49=F$4)*('Thông tin lớp học'!$I$10:$I$49&lt;=$A6+0.000001)*('Thông tin lớp học'!$J$10:$J$49&gt;$A6+0.000001))=0,"",IF(SUMPRODUCT(('Hoạt động'!$A$5:$A$104=F$5)*('Hoạt động'!$B$5:$B$104&lt;=$A6+0.000001)*('Hoạt động'!$C$5:$C$104&gt;$A6+0.000001))+SUMPRODUCT(('Thông tin lớp học'!$H$10:$H$49=F$4)*('Thông tin lớp học'!$I$10:$I$49&lt;=$A6+0.000001)*('Thông tin lớp học'!$J$10:$J$49&gt;$A6+0.000001))&gt;1,"⚠ Trùng lịch",IF(SUMPRODUCT(('Hoạt động'!$A$5:$A$104=F$5)*('Hoạt động'!$B$5:$B$104&lt;=$A6+0.000001)*('Hoạt động'!$C$5:$C$104&gt;$A6+0.000001))=1,INDEX('Hoạt động'!$D$5:$D$104,SUMPRODUCT(('Hoạt động'!$A$5:$A$104=F$5)*('Hoạt động'!$B$5:$B$104&lt;=$A6+0.000001)*('Hoạt động'!$C$5:$C$104&gt;$A6+0.000001)*(ROW('Hoạt động'!$A$5:$A$104)-4))),INDEX('Thông tin lớp học'!$G$10:$G$49,SUMPRODUCT(('Thông tin lớp học'!$H$10:$H$49=F$4)*('Thông tin lớp học'!$I$10:$I$49&lt;=$A6+0.000001)*('Thông tin lớp học'!$J$10:$J$49&gt;$A6+0.000001)*(ROW('Thông tin lớp học'!$H$10:$H$49)-9))))))</f>
        <v/>
      </c>
      <c r="G6" s="123" t="str">
        <f t="array" ref="G6">IF(SUMPRODUCT(('Hoạt động'!$A$5:$A$104=G$5)*('Hoạt động'!$B$5:$B$104&lt;=$A6+0.000001)*('Hoạt động'!$C$5:$C$104&gt;$A6+0.000001))+SUMPRODUCT(('Thông tin lớp học'!$H$10:$H$49=G$4)*('Thông tin lớp học'!$I$10:$I$49&lt;=$A6+0.000001)*('Thông tin lớp học'!$J$10:$J$49&gt;$A6+0.000001))=0,"",IF(SUMPRODUCT(('Hoạt động'!$A$5:$A$104=G$5)*('Hoạt động'!$B$5:$B$104&lt;=$A6+0.000001)*('Hoạt động'!$C$5:$C$104&gt;$A6+0.000001))+SUMPRODUCT(('Thông tin lớp học'!$H$10:$H$49=G$4)*('Thông tin lớp học'!$I$10:$I$49&lt;=$A6+0.000001)*('Thông tin lớp học'!$J$10:$J$49&gt;$A6+0.000001))&gt;1,"⚠ Trùng lịch",IF(SUMPRODUCT(('Hoạt động'!$A$5:$A$104=G$5)*('Hoạt động'!$B$5:$B$104&lt;=$A6+0.000001)*('Hoạt động'!$C$5:$C$104&gt;$A6+0.000001))=1,INDEX('Hoạt động'!$D$5:$D$104,SUMPRODUCT(('Hoạt động'!$A$5:$A$104=G$5)*('Hoạt động'!$B$5:$B$104&lt;=$A6+0.000001)*('Hoạt động'!$C$5:$C$104&gt;$A6+0.000001)*(ROW('Hoạt động'!$A$5:$A$104)-4))),INDEX('Thông tin lớp học'!$G$10:$G$49,SUMPRODUCT(('Thông tin lớp học'!$H$10:$H$49=G$4)*('Thông tin lớp học'!$I$10:$I$49&lt;=$A6+0.000001)*('Thông tin lớp học'!$J$10:$J$49&gt;$A6+0.000001)*(ROW('Thông tin lớp học'!$H$10:$H$49)-9))))))</f>
        <v/>
      </c>
      <c r="H6" s="123" t="str">
        <f t="array" ref="H6">IF(SUMPRODUCT(('Hoạt động'!$A$5:$A$104=H$5)*('Hoạt động'!$B$5:$B$104&lt;=$A6+0.000001)*('Hoạt động'!$C$5:$C$104&gt;$A6+0.000001))+SUMPRODUCT(('Thông tin lớp học'!$H$10:$H$49=H$4)*('Thông tin lớp học'!$I$10:$I$49&lt;=$A6+0.000001)*('Thông tin lớp học'!$J$10:$J$49&gt;$A6+0.000001))=0,"",IF(SUMPRODUCT(('Hoạt động'!$A$5:$A$104=H$5)*('Hoạt động'!$B$5:$B$104&lt;=$A6+0.000001)*('Hoạt động'!$C$5:$C$104&gt;$A6+0.000001))+SUMPRODUCT(('Thông tin lớp học'!$H$10:$H$49=H$4)*('Thông tin lớp học'!$I$10:$I$49&lt;=$A6+0.000001)*('Thông tin lớp học'!$J$10:$J$49&gt;$A6+0.000001))&gt;1,"⚠ Trùng lịch",IF(SUMPRODUCT(('Hoạt động'!$A$5:$A$104=H$5)*('Hoạt động'!$B$5:$B$104&lt;=$A6+0.000001)*('Hoạt động'!$C$5:$C$104&gt;$A6+0.000001))=1,INDEX('Hoạt động'!$D$5:$D$104,SUMPRODUCT(('Hoạt động'!$A$5:$A$104=H$5)*('Hoạt động'!$B$5:$B$104&lt;=$A6+0.000001)*('Hoạt động'!$C$5:$C$104&gt;$A6+0.000001)*(ROW('Hoạt động'!$A$5:$A$104)-4))),INDEX('Thông tin lớp học'!$G$10:$G$49,SUMPRODUCT(('Thông tin lớp học'!$H$10:$H$49=H$4)*('Thông tin lớp học'!$I$10:$I$49&lt;=$A6+0.000001)*('Thông tin lớp học'!$J$10:$J$49&gt;$A6+0.000001)*(ROW('Thông tin lớp học'!$H$10:$H$49)-9))))))</f>
        <v/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6">
        <v>0.270833333333333</v>
      </c>
      <c r="B7" s="123" t="str">
        <f t="array" ref="B7">IF(SUMPRODUCT(('Hoạt động'!$A$5:$A$104=B$5)*('Hoạt động'!$B$5:$B$104&lt;=$A7+0.000001)*('Hoạt động'!$C$5:$C$104&gt;$A7+0.000001))+SUMPRODUCT(('Thông tin lớp học'!$H$10:$H$49=B$4)*('Thông tin lớp học'!$I$10:$I$49&lt;=$A7+0.000001)*('Thông tin lớp học'!$J$10:$J$49&gt;$A7+0.000001))=0,"",IF(SUMPRODUCT(('Hoạt động'!$A$5:$A$104=B$5)*('Hoạt động'!$B$5:$B$104&lt;=$A7+0.000001)*('Hoạt động'!$C$5:$C$104&gt;$A7+0.000001))+SUMPRODUCT(('Thông tin lớp học'!$H$10:$H$49=B$4)*('Thông tin lớp học'!$I$10:$I$49&lt;=$A7+0.000001)*('Thông tin lớp học'!$J$10:$J$49&gt;$A7+0.000001))&gt;1,"⚠ Trùng lịch",IF(SUMPRODUCT(('Hoạt động'!$A$5:$A$104=B$5)*('Hoạt động'!$B$5:$B$104&lt;=$A7+0.000001)*('Hoạt động'!$C$5:$C$104&gt;$A7+0.000001))=1,INDEX('Hoạt động'!$D$5:$D$104,SUMPRODUCT(('Hoạt động'!$A$5:$A$104=B$5)*('Hoạt động'!$B$5:$B$104&lt;=$A7+0.000001)*('Hoạt động'!$C$5:$C$104&gt;$A7+0.000001)*(ROW('Hoạt động'!$A$5:$A$104)-4))),INDEX('Thông tin lớp học'!$G$10:$G$49,SUMPRODUCT(('Thông tin lớp học'!$H$10:$H$49=B$4)*('Thông tin lớp học'!$I$10:$I$49&lt;=$A7+0.000001)*('Thông tin lớp học'!$J$10:$J$49&gt;$A7+0.000001)*(ROW('Thông tin lớp học'!$H$10:$H$49)-9))))))</f>
        <v/>
      </c>
      <c r="C7" s="123" t="str">
        <f t="array" ref="C7">IF(SUMPRODUCT(('Hoạt động'!$A$5:$A$104=C$5)*('Hoạt động'!$B$5:$B$104&lt;=$A7+0.000001)*('Hoạt động'!$C$5:$C$104&gt;$A7+0.000001))+SUMPRODUCT(('Thông tin lớp học'!$H$10:$H$49=C$4)*('Thông tin lớp học'!$I$10:$I$49&lt;=$A7+0.000001)*('Thông tin lớp học'!$J$10:$J$49&gt;$A7+0.000001))=0,"",IF(SUMPRODUCT(('Hoạt động'!$A$5:$A$104=C$5)*('Hoạt động'!$B$5:$B$104&lt;=$A7+0.000001)*('Hoạt động'!$C$5:$C$104&gt;$A7+0.000001))+SUMPRODUCT(('Thông tin lớp học'!$H$10:$H$49=C$4)*('Thông tin lớp học'!$I$10:$I$49&lt;=$A7+0.000001)*('Thông tin lớp học'!$J$10:$J$49&gt;$A7+0.000001))&gt;1,"⚠ Trùng lịch",IF(SUMPRODUCT(('Hoạt động'!$A$5:$A$104=C$5)*('Hoạt động'!$B$5:$B$104&lt;=$A7+0.000001)*('Hoạt động'!$C$5:$C$104&gt;$A7+0.000001))=1,INDEX('Hoạt động'!$D$5:$D$104,SUMPRODUCT(('Hoạt động'!$A$5:$A$104=C$5)*('Hoạt động'!$B$5:$B$104&lt;=$A7+0.000001)*('Hoạt động'!$C$5:$C$104&gt;$A7+0.000001)*(ROW('Hoạt động'!$A$5:$A$104)-4))),INDEX('Thông tin lớp học'!$G$10:$G$49,SUMPRODUCT(('Thông tin lớp học'!$H$10:$H$49=C$4)*('Thông tin lớp học'!$I$10:$I$49&lt;=$A7+0.000001)*('Thông tin lớp học'!$J$10:$J$49&gt;$A7+0.000001)*(ROW('Thông tin lớp học'!$H$10:$H$49)-9))))))</f>
        <v/>
      </c>
      <c r="D7" s="123" t="str">
        <f t="array" ref="D7">IF(SUMPRODUCT(('Hoạt động'!$A$5:$A$104=D$5)*('Hoạt động'!$B$5:$B$104&lt;=$A7+0.000001)*('Hoạt động'!$C$5:$C$104&gt;$A7+0.000001))+SUMPRODUCT(('Thông tin lớp học'!$H$10:$H$49=D$4)*('Thông tin lớp học'!$I$10:$I$49&lt;=$A7+0.000001)*('Thông tin lớp học'!$J$10:$J$49&gt;$A7+0.000001))=0,"",IF(SUMPRODUCT(('Hoạt động'!$A$5:$A$104=D$5)*('Hoạt động'!$B$5:$B$104&lt;=$A7+0.000001)*('Hoạt động'!$C$5:$C$104&gt;$A7+0.000001))+SUMPRODUCT(('Thông tin lớp học'!$H$10:$H$49=D$4)*('Thông tin lớp học'!$I$10:$I$49&lt;=$A7+0.000001)*('Thông tin lớp học'!$J$10:$J$49&gt;$A7+0.000001))&gt;1,"⚠ Trùng lịch",IF(SUMPRODUCT(('Hoạt động'!$A$5:$A$104=D$5)*('Hoạt động'!$B$5:$B$104&lt;=$A7+0.000001)*('Hoạt động'!$C$5:$C$104&gt;$A7+0.000001))=1,INDEX('Hoạt động'!$D$5:$D$104,SUMPRODUCT(('Hoạt động'!$A$5:$A$104=D$5)*('Hoạt động'!$B$5:$B$104&lt;=$A7+0.000001)*('Hoạt động'!$C$5:$C$104&gt;$A7+0.000001)*(ROW('Hoạt động'!$A$5:$A$104)-4))),INDEX('Thông tin lớp học'!$G$10:$G$49,SUMPRODUCT(('Thông tin lớp học'!$H$10:$H$49=D$4)*('Thông tin lớp học'!$I$10:$I$49&lt;=$A7+0.000001)*('Thông tin lớp học'!$J$10:$J$49&gt;$A7+0.000001)*(ROW('Thông tin lớp học'!$H$10:$H$49)-9))))))</f>
        <v/>
      </c>
      <c r="E7" s="123" t="str">
        <f t="array" ref="E7">IF(SUMPRODUCT(('Hoạt động'!$A$5:$A$104=E$5)*('Hoạt động'!$B$5:$B$104&lt;=$A7+0.000001)*('Hoạt động'!$C$5:$C$104&gt;$A7+0.000001))+SUMPRODUCT(('Thông tin lớp học'!$H$10:$H$49=E$4)*('Thông tin lớp học'!$I$10:$I$49&lt;=$A7+0.000001)*('Thông tin lớp học'!$J$10:$J$49&gt;$A7+0.000001))=0,"",IF(SUMPRODUCT(('Hoạt động'!$A$5:$A$104=E$5)*('Hoạt động'!$B$5:$B$104&lt;=$A7+0.000001)*('Hoạt động'!$C$5:$C$104&gt;$A7+0.000001))+SUMPRODUCT(('Thông tin lớp học'!$H$10:$H$49=E$4)*('Thông tin lớp học'!$I$10:$I$49&lt;=$A7+0.000001)*('Thông tin lớp học'!$J$10:$J$49&gt;$A7+0.000001))&gt;1,"⚠ Trùng lịch",IF(SUMPRODUCT(('Hoạt động'!$A$5:$A$104=E$5)*('Hoạt động'!$B$5:$B$104&lt;=$A7+0.000001)*('Hoạt động'!$C$5:$C$104&gt;$A7+0.000001))=1,INDEX('Hoạt động'!$D$5:$D$104,SUMPRODUCT(('Hoạt động'!$A$5:$A$104=E$5)*('Hoạt động'!$B$5:$B$104&lt;=$A7+0.000001)*('Hoạt động'!$C$5:$C$104&gt;$A7+0.000001)*(ROW('Hoạt động'!$A$5:$A$104)-4))),INDEX('Thông tin lớp học'!$G$10:$G$49,SUMPRODUCT(('Thông tin lớp học'!$H$10:$H$49=E$4)*('Thông tin lớp học'!$I$10:$I$49&lt;=$A7+0.000001)*('Thông tin lớp học'!$J$10:$J$49&gt;$A7+0.000001)*(ROW('Thông tin lớp học'!$H$10:$H$49)-9))))))</f>
        <v/>
      </c>
      <c r="F7" s="123" t="str">
        <f t="array" ref="F7">IF(SUMPRODUCT(('Hoạt động'!$A$5:$A$104=F$5)*('Hoạt động'!$B$5:$B$104&lt;=$A7+0.000001)*('Hoạt động'!$C$5:$C$104&gt;$A7+0.000001))+SUMPRODUCT(('Thông tin lớp học'!$H$10:$H$49=F$4)*('Thông tin lớp học'!$I$10:$I$49&lt;=$A7+0.000001)*('Thông tin lớp học'!$J$10:$J$49&gt;$A7+0.000001))=0,"",IF(SUMPRODUCT(('Hoạt động'!$A$5:$A$104=F$5)*('Hoạt động'!$B$5:$B$104&lt;=$A7+0.000001)*('Hoạt động'!$C$5:$C$104&gt;$A7+0.000001))+SUMPRODUCT(('Thông tin lớp học'!$H$10:$H$49=F$4)*('Thông tin lớp học'!$I$10:$I$49&lt;=$A7+0.000001)*('Thông tin lớp học'!$J$10:$J$49&gt;$A7+0.000001))&gt;1,"⚠ Trùng lịch",IF(SUMPRODUCT(('Hoạt động'!$A$5:$A$104=F$5)*('Hoạt động'!$B$5:$B$104&lt;=$A7+0.000001)*('Hoạt động'!$C$5:$C$104&gt;$A7+0.000001))=1,INDEX('Hoạt động'!$D$5:$D$104,SUMPRODUCT(('Hoạt động'!$A$5:$A$104=F$5)*('Hoạt động'!$B$5:$B$104&lt;=$A7+0.000001)*('Hoạt động'!$C$5:$C$104&gt;$A7+0.000001)*(ROW('Hoạt động'!$A$5:$A$104)-4))),INDEX('Thông tin lớp học'!$G$10:$G$49,SUMPRODUCT(('Thông tin lớp học'!$H$10:$H$49=F$4)*('Thông tin lớp học'!$I$10:$I$49&lt;=$A7+0.000001)*('Thông tin lớp học'!$J$10:$J$49&gt;$A7+0.000001)*(ROW('Thông tin lớp học'!$H$10:$H$49)-9))))))</f>
        <v/>
      </c>
      <c r="G7" s="123" t="str">
        <f t="array" ref="G7">IF(SUMPRODUCT(('Hoạt động'!$A$5:$A$104=G$5)*('Hoạt động'!$B$5:$B$104&lt;=$A7+0.000001)*('Hoạt động'!$C$5:$C$104&gt;$A7+0.000001))+SUMPRODUCT(('Thông tin lớp học'!$H$10:$H$49=G$4)*('Thông tin lớp học'!$I$10:$I$49&lt;=$A7+0.000001)*('Thông tin lớp học'!$J$10:$J$49&gt;$A7+0.000001))=0,"",IF(SUMPRODUCT(('Hoạt động'!$A$5:$A$104=G$5)*('Hoạt động'!$B$5:$B$104&lt;=$A7+0.000001)*('Hoạt động'!$C$5:$C$104&gt;$A7+0.000001))+SUMPRODUCT(('Thông tin lớp học'!$H$10:$H$49=G$4)*('Thông tin lớp học'!$I$10:$I$49&lt;=$A7+0.000001)*('Thông tin lớp học'!$J$10:$J$49&gt;$A7+0.000001))&gt;1,"⚠ Trùng lịch",IF(SUMPRODUCT(('Hoạt động'!$A$5:$A$104=G$5)*('Hoạt động'!$B$5:$B$104&lt;=$A7+0.000001)*('Hoạt động'!$C$5:$C$104&gt;$A7+0.000001))=1,INDEX('Hoạt động'!$D$5:$D$104,SUMPRODUCT(('Hoạt động'!$A$5:$A$104=G$5)*('Hoạt động'!$B$5:$B$104&lt;=$A7+0.000001)*('Hoạt động'!$C$5:$C$104&gt;$A7+0.000001)*(ROW('Hoạt động'!$A$5:$A$104)-4))),INDEX('Thông tin lớp học'!$G$10:$G$49,SUMPRODUCT(('Thông tin lớp học'!$H$10:$H$49=G$4)*('Thông tin lớp học'!$I$10:$I$49&lt;=$A7+0.000001)*('Thông tin lớp học'!$J$10:$J$49&gt;$A7+0.000001)*(ROW('Thông tin lớp học'!$H$10:$H$49)-9))))))</f>
        <v/>
      </c>
      <c r="H7" s="123" t="str">
        <f t="array" ref="H7">IF(SUMPRODUCT(('Hoạt động'!$A$5:$A$104=H$5)*('Hoạt động'!$B$5:$B$104&lt;=$A7+0.000001)*('Hoạt động'!$C$5:$C$104&gt;$A7+0.000001))+SUMPRODUCT(('Thông tin lớp học'!$H$10:$H$49=H$4)*('Thông tin lớp học'!$I$10:$I$49&lt;=$A7+0.000001)*('Thông tin lớp học'!$J$10:$J$49&gt;$A7+0.000001))=0,"",IF(SUMPRODUCT(('Hoạt động'!$A$5:$A$104=H$5)*('Hoạt động'!$B$5:$B$104&lt;=$A7+0.000001)*('Hoạt động'!$C$5:$C$104&gt;$A7+0.000001))+SUMPRODUCT(('Thông tin lớp học'!$H$10:$H$49=H$4)*('Thông tin lớp học'!$I$10:$I$49&lt;=$A7+0.000001)*('Thông tin lớp học'!$J$10:$J$49&gt;$A7+0.000001))&gt;1,"⚠ Trùng lịch",IF(SUMPRODUCT(('Hoạt động'!$A$5:$A$104=H$5)*('Hoạt động'!$B$5:$B$104&lt;=$A7+0.000001)*('Hoạt động'!$C$5:$C$104&gt;$A7+0.000001))=1,INDEX('Hoạt động'!$D$5:$D$104,SUMPRODUCT(('Hoạt động'!$A$5:$A$104=H$5)*('Hoạt động'!$B$5:$B$104&lt;=$A7+0.000001)*('Hoạt động'!$C$5:$C$104&gt;$A7+0.000001)*(ROW('Hoạt động'!$A$5:$A$104)-4))),INDEX('Thông tin lớp học'!$G$10:$G$49,SUMPRODUCT(('Thông tin lớp học'!$H$10:$H$49=H$4)*('Thông tin lớp học'!$I$10:$I$49&lt;=$A7+0.000001)*('Thông tin lớp học'!$J$10:$J$49&gt;$A7+0.000001)*(ROW('Thông tin lớp học'!$H$10:$H$49)-9))))))</f>
        <v/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6">
        <v>0.291666666666667</v>
      </c>
      <c r="B8" s="123" t="str">
        <f t="array" ref="B8">IF(SUMPRODUCT(('Hoạt động'!$A$5:$A$104=B$5)*('Hoạt động'!$B$5:$B$104&lt;=$A8+0.000001)*('Hoạt động'!$C$5:$C$104&gt;$A8+0.000001))+SUMPRODUCT(('Thông tin lớp học'!$H$10:$H$49=B$4)*('Thông tin lớp học'!$I$10:$I$49&lt;=$A8+0.000001)*('Thông tin lớp học'!$J$10:$J$49&gt;$A8+0.000001))=0,"",IF(SUMPRODUCT(('Hoạt động'!$A$5:$A$104=B$5)*('Hoạt động'!$B$5:$B$104&lt;=$A8+0.000001)*('Hoạt động'!$C$5:$C$104&gt;$A8+0.000001))+SUMPRODUCT(('Thông tin lớp học'!$H$10:$H$49=B$4)*('Thông tin lớp học'!$I$10:$I$49&lt;=$A8+0.000001)*('Thông tin lớp học'!$J$10:$J$49&gt;$A8+0.000001))&gt;1,"⚠ Trùng lịch",IF(SUMPRODUCT(('Hoạt động'!$A$5:$A$104=B$5)*('Hoạt động'!$B$5:$B$104&lt;=$A8+0.000001)*('Hoạt động'!$C$5:$C$104&gt;$A8+0.000001))=1,INDEX('Hoạt động'!$D$5:$D$104,SUMPRODUCT(('Hoạt động'!$A$5:$A$104=B$5)*('Hoạt động'!$B$5:$B$104&lt;=$A8+0.000001)*('Hoạt động'!$C$5:$C$104&gt;$A8+0.000001)*(ROW('Hoạt động'!$A$5:$A$104)-4))),INDEX('Thông tin lớp học'!$G$10:$G$49,SUMPRODUCT(('Thông tin lớp học'!$H$10:$H$49=B$4)*('Thông tin lớp học'!$I$10:$I$49&lt;=$A8+0.000001)*('Thông tin lớp học'!$J$10:$J$49&gt;$A8+0.000001)*(ROW('Thông tin lớp học'!$H$10:$H$49)-9))))))</f>
        <v/>
      </c>
      <c r="C8" s="123" t="str">
        <f t="array" ref="C8">IF(SUMPRODUCT(('Hoạt động'!$A$5:$A$104=C$5)*('Hoạt động'!$B$5:$B$104&lt;=$A8+0.000001)*('Hoạt động'!$C$5:$C$104&gt;$A8+0.000001))+SUMPRODUCT(('Thông tin lớp học'!$H$10:$H$49=C$4)*('Thông tin lớp học'!$I$10:$I$49&lt;=$A8+0.000001)*('Thông tin lớp học'!$J$10:$J$49&gt;$A8+0.000001))=0,"",IF(SUMPRODUCT(('Hoạt động'!$A$5:$A$104=C$5)*('Hoạt động'!$B$5:$B$104&lt;=$A8+0.000001)*('Hoạt động'!$C$5:$C$104&gt;$A8+0.000001))+SUMPRODUCT(('Thông tin lớp học'!$H$10:$H$49=C$4)*('Thông tin lớp học'!$I$10:$I$49&lt;=$A8+0.000001)*('Thông tin lớp học'!$J$10:$J$49&gt;$A8+0.000001))&gt;1,"⚠ Trùng lịch",IF(SUMPRODUCT(('Hoạt động'!$A$5:$A$104=C$5)*('Hoạt động'!$B$5:$B$104&lt;=$A8+0.000001)*('Hoạt động'!$C$5:$C$104&gt;$A8+0.000001))=1,INDEX('Hoạt động'!$D$5:$D$104,SUMPRODUCT(('Hoạt động'!$A$5:$A$104=C$5)*('Hoạt động'!$B$5:$B$104&lt;=$A8+0.000001)*('Hoạt động'!$C$5:$C$104&gt;$A8+0.000001)*(ROW('Hoạt động'!$A$5:$A$104)-4))),INDEX('Thông tin lớp học'!$G$10:$G$49,SUMPRODUCT(('Thông tin lớp học'!$H$10:$H$49=C$4)*('Thông tin lớp học'!$I$10:$I$49&lt;=$A8+0.000001)*('Thông tin lớp học'!$J$10:$J$49&gt;$A8+0.000001)*(ROW('Thông tin lớp học'!$H$10:$H$49)-9))))))</f>
        <v/>
      </c>
      <c r="D8" s="123" t="str">
        <f t="array" ref="D8">IF(SUMPRODUCT(('Hoạt động'!$A$5:$A$104=D$5)*('Hoạt động'!$B$5:$B$104&lt;=$A8+0.000001)*('Hoạt động'!$C$5:$C$104&gt;$A8+0.000001))+SUMPRODUCT(('Thông tin lớp học'!$H$10:$H$49=D$4)*('Thông tin lớp học'!$I$10:$I$49&lt;=$A8+0.000001)*('Thông tin lớp học'!$J$10:$J$49&gt;$A8+0.000001))=0,"",IF(SUMPRODUCT(('Hoạt động'!$A$5:$A$104=D$5)*('Hoạt động'!$B$5:$B$104&lt;=$A8+0.000001)*('Hoạt động'!$C$5:$C$104&gt;$A8+0.000001))+SUMPRODUCT(('Thông tin lớp học'!$H$10:$H$49=D$4)*('Thông tin lớp học'!$I$10:$I$49&lt;=$A8+0.000001)*('Thông tin lớp học'!$J$10:$J$49&gt;$A8+0.000001))&gt;1,"⚠ Trùng lịch",IF(SUMPRODUCT(('Hoạt động'!$A$5:$A$104=D$5)*('Hoạt động'!$B$5:$B$104&lt;=$A8+0.000001)*('Hoạt động'!$C$5:$C$104&gt;$A8+0.000001))=1,INDEX('Hoạt động'!$D$5:$D$104,SUMPRODUCT(('Hoạt động'!$A$5:$A$104=D$5)*('Hoạt động'!$B$5:$B$104&lt;=$A8+0.000001)*('Hoạt động'!$C$5:$C$104&gt;$A8+0.000001)*(ROW('Hoạt động'!$A$5:$A$104)-4))),INDEX('Thông tin lớp học'!$G$10:$G$49,SUMPRODUCT(('Thông tin lớp học'!$H$10:$H$49=D$4)*('Thông tin lớp học'!$I$10:$I$49&lt;=$A8+0.000001)*('Thông tin lớp học'!$J$10:$J$49&gt;$A8+0.000001)*(ROW('Thông tin lớp học'!$H$10:$H$49)-9))))))</f>
        <v/>
      </c>
      <c r="E8" s="123" t="str">
        <f t="array" ref="E8">IF(SUMPRODUCT(('Hoạt động'!$A$5:$A$104=E$5)*('Hoạt động'!$B$5:$B$104&lt;=$A8+0.000001)*('Hoạt động'!$C$5:$C$104&gt;$A8+0.000001))+SUMPRODUCT(('Thông tin lớp học'!$H$10:$H$49=E$4)*('Thông tin lớp học'!$I$10:$I$49&lt;=$A8+0.000001)*('Thông tin lớp học'!$J$10:$J$49&gt;$A8+0.000001))=0,"",IF(SUMPRODUCT(('Hoạt động'!$A$5:$A$104=E$5)*('Hoạt động'!$B$5:$B$104&lt;=$A8+0.000001)*('Hoạt động'!$C$5:$C$104&gt;$A8+0.000001))+SUMPRODUCT(('Thông tin lớp học'!$H$10:$H$49=E$4)*('Thông tin lớp học'!$I$10:$I$49&lt;=$A8+0.000001)*('Thông tin lớp học'!$J$10:$J$49&gt;$A8+0.000001))&gt;1,"⚠ Trùng lịch",IF(SUMPRODUCT(('Hoạt động'!$A$5:$A$104=E$5)*('Hoạt động'!$B$5:$B$104&lt;=$A8+0.000001)*('Hoạt động'!$C$5:$C$104&gt;$A8+0.000001))=1,INDEX('Hoạt động'!$D$5:$D$104,SUMPRODUCT(('Hoạt động'!$A$5:$A$104=E$5)*('Hoạt động'!$B$5:$B$104&lt;=$A8+0.000001)*('Hoạt động'!$C$5:$C$104&gt;$A8+0.000001)*(ROW('Hoạt động'!$A$5:$A$104)-4))),INDEX('Thông tin lớp học'!$G$10:$G$49,SUMPRODUCT(('Thông tin lớp học'!$H$10:$H$49=E$4)*('Thông tin lớp học'!$I$10:$I$49&lt;=$A8+0.000001)*('Thông tin lớp học'!$J$10:$J$49&gt;$A8+0.000001)*(ROW('Thông tin lớp học'!$H$10:$H$49)-9))))))</f>
        <v/>
      </c>
      <c r="F8" s="123" t="str">
        <f t="array" ref="F8">IF(SUMPRODUCT(('Hoạt động'!$A$5:$A$104=F$5)*('Hoạt động'!$B$5:$B$104&lt;=$A8+0.000001)*('Hoạt động'!$C$5:$C$104&gt;$A8+0.000001))+SUMPRODUCT(('Thông tin lớp học'!$H$10:$H$49=F$4)*('Thông tin lớp học'!$I$10:$I$49&lt;=$A8+0.000001)*('Thông tin lớp học'!$J$10:$J$49&gt;$A8+0.000001))=0,"",IF(SUMPRODUCT(('Hoạt động'!$A$5:$A$104=F$5)*('Hoạt động'!$B$5:$B$104&lt;=$A8+0.000001)*('Hoạt động'!$C$5:$C$104&gt;$A8+0.000001))+SUMPRODUCT(('Thông tin lớp học'!$H$10:$H$49=F$4)*('Thông tin lớp học'!$I$10:$I$49&lt;=$A8+0.000001)*('Thông tin lớp học'!$J$10:$J$49&gt;$A8+0.000001))&gt;1,"⚠ Trùng lịch",IF(SUMPRODUCT(('Hoạt động'!$A$5:$A$104=F$5)*('Hoạt động'!$B$5:$B$104&lt;=$A8+0.000001)*('Hoạt động'!$C$5:$C$104&gt;$A8+0.000001))=1,INDEX('Hoạt động'!$D$5:$D$104,SUMPRODUCT(('Hoạt động'!$A$5:$A$104=F$5)*('Hoạt động'!$B$5:$B$104&lt;=$A8+0.000001)*('Hoạt động'!$C$5:$C$104&gt;$A8+0.000001)*(ROW('Hoạt động'!$A$5:$A$104)-4))),INDEX('Thông tin lớp học'!$G$10:$G$49,SUMPRODUCT(('Thông tin lớp học'!$H$10:$H$49=F$4)*('Thông tin lớp học'!$I$10:$I$49&lt;=$A8+0.000001)*('Thông tin lớp học'!$J$10:$J$49&gt;$A8+0.000001)*(ROW('Thông tin lớp học'!$H$10:$H$49)-9))))))</f>
        <v/>
      </c>
      <c r="G8" s="123" t="str">
        <f t="array" ref="G8">IF(SUMPRODUCT(('Hoạt động'!$A$5:$A$104=G$5)*('Hoạt động'!$B$5:$B$104&lt;=$A8+0.000001)*('Hoạt động'!$C$5:$C$104&gt;$A8+0.000001))+SUMPRODUCT(('Thông tin lớp học'!$H$10:$H$49=G$4)*('Thông tin lớp học'!$I$10:$I$49&lt;=$A8+0.000001)*('Thông tin lớp học'!$J$10:$J$49&gt;$A8+0.000001))=0,"",IF(SUMPRODUCT(('Hoạt động'!$A$5:$A$104=G$5)*('Hoạt động'!$B$5:$B$104&lt;=$A8+0.000001)*('Hoạt động'!$C$5:$C$104&gt;$A8+0.000001))+SUMPRODUCT(('Thông tin lớp học'!$H$10:$H$49=G$4)*('Thông tin lớp học'!$I$10:$I$49&lt;=$A8+0.000001)*('Thông tin lớp học'!$J$10:$J$49&gt;$A8+0.000001))&gt;1,"⚠ Trùng lịch",IF(SUMPRODUCT(('Hoạt động'!$A$5:$A$104=G$5)*('Hoạt động'!$B$5:$B$104&lt;=$A8+0.000001)*('Hoạt động'!$C$5:$C$104&gt;$A8+0.000001))=1,INDEX('Hoạt động'!$D$5:$D$104,SUMPRODUCT(('Hoạt động'!$A$5:$A$104=G$5)*('Hoạt động'!$B$5:$B$104&lt;=$A8+0.000001)*('Hoạt động'!$C$5:$C$104&gt;$A8+0.000001)*(ROW('Hoạt động'!$A$5:$A$104)-4))),INDEX('Thông tin lớp học'!$G$10:$G$49,SUMPRODUCT(('Thông tin lớp học'!$H$10:$H$49=G$4)*('Thông tin lớp học'!$I$10:$I$49&lt;=$A8+0.000001)*('Thông tin lớp học'!$J$10:$J$49&gt;$A8+0.000001)*(ROW('Thông tin lớp học'!$H$10:$H$49)-9))))))</f>
        <v/>
      </c>
      <c r="H8" s="123" t="str">
        <f t="array" ref="H8">IF(SUMPRODUCT(('Hoạt động'!$A$5:$A$104=H$5)*('Hoạt động'!$B$5:$B$104&lt;=$A8+0.000001)*('Hoạt động'!$C$5:$C$104&gt;$A8+0.000001))+SUMPRODUCT(('Thông tin lớp học'!$H$10:$H$49=H$4)*('Thông tin lớp học'!$I$10:$I$49&lt;=$A8+0.000001)*('Thông tin lớp học'!$J$10:$J$49&gt;$A8+0.000001))=0,"",IF(SUMPRODUCT(('Hoạt động'!$A$5:$A$104=H$5)*('Hoạt động'!$B$5:$B$104&lt;=$A8+0.000001)*('Hoạt động'!$C$5:$C$104&gt;$A8+0.000001))+SUMPRODUCT(('Thông tin lớp học'!$H$10:$H$49=H$4)*('Thông tin lớp học'!$I$10:$I$49&lt;=$A8+0.000001)*('Thông tin lớp học'!$J$10:$J$49&gt;$A8+0.000001))&gt;1,"⚠ Trùng lịch",IF(SUMPRODUCT(('Hoạt động'!$A$5:$A$104=H$5)*('Hoạt động'!$B$5:$B$104&lt;=$A8+0.000001)*('Hoạt động'!$C$5:$C$104&gt;$A8+0.000001))=1,INDEX('Hoạt động'!$D$5:$D$104,SUMPRODUCT(('Hoạt động'!$A$5:$A$104=H$5)*('Hoạt động'!$B$5:$B$104&lt;=$A8+0.000001)*('Hoạt động'!$C$5:$C$104&gt;$A8+0.000001)*(ROW('Hoạt động'!$A$5:$A$104)-4))),INDEX('Thông tin lớp học'!$G$10:$G$49,SUMPRODUCT(('Thông tin lớp học'!$H$10:$H$49=H$4)*('Thông tin lớp học'!$I$10:$I$49&lt;=$A8+0.000001)*('Thông tin lớp học'!$J$10:$J$49&gt;$A8+0.000001)*(ROW('Thông tin lớp học'!$H$10:$H$49)-9))))))</f>
        <v/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6">
        <v>0.3125</v>
      </c>
      <c r="B9" s="123" t="str">
        <f t="array" ref="B9">IF(SUMPRODUCT(('Hoạt động'!$A$5:$A$104=B$5)*('Hoạt động'!$B$5:$B$104&lt;=$A9+0.000001)*('Hoạt động'!$C$5:$C$104&gt;$A9+0.000001))+SUMPRODUCT(('Thông tin lớp học'!$H$10:$H$49=B$4)*('Thông tin lớp học'!$I$10:$I$49&lt;=$A9+0.000001)*('Thông tin lớp học'!$J$10:$J$49&gt;$A9+0.000001))=0,"",IF(SUMPRODUCT(('Hoạt động'!$A$5:$A$104=B$5)*('Hoạt động'!$B$5:$B$104&lt;=$A9+0.000001)*('Hoạt động'!$C$5:$C$104&gt;$A9+0.000001))+SUMPRODUCT(('Thông tin lớp học'!$H$10:$H$49=B$4)*('Thông tin lớp học'!$I$10:$I$49&lt;=$A9+0.000001)*('Thông tin lớp học'!$J$10:$J$49&gt;$A9+0.000001))&gt;1,"⚠ Trùng lịch",IF(SUMPRODUCT(('Hoạt động'!$A$5:$A$104=B$5)*('Hoạt động'!$B$5:$B$104&lt;=$A9+0.000001)*('Hoạt động'!$C$5:$C$104&gt;$A9+0.000001))=1,INDEX('Hoạt động'!$D$5:$D$104,SUMPRODUCT(('Hoạt động'!$A$5:$A$104=B$5)*('Hoạt động'!$B$5:$B$104&lt;=$A9+0.000001)*('Hoạt động'!$C$5:$C$104&gt;$A9+0.000001)*(ROW('Hoạt động'!$A$5:$A$104)-4))),INDEX('Thông tin lớp học'!$G$10:$G$49,SUMPRODUCT(('Thông tin lớp học'!$H$10:$H$49=B$4)*('Thông tin lớp học'!$I$10:$I$49&lt;=$A9+0.000001)*('Thông tin lớp học'!$J$10:$J$49&gt;$A9+0.000001)*(ROW('Thông tin lớp học'!$H$10:$H$49)-9))))))</f>
        <v>Toán cao cấp</v>
      </c>
      <c r="C9" s="123" t="str">
        <f t="array" ref="C9">IF(SUMPRODUCT(('Hoạt động'!$A$5:$A$104=C$5)*('Hoạt động'!$B$5:$B$104&lt;=$A9+0.000001)*('Hoạt động'!$C$5:$C$104&gt;$A9+0.000001))+SUMPRODUCT(('Thông tin lớp học'!$H$10:$H$49=C$4)*('Thông tin lớp học'!$I$10:$I$49&lt;=$A9+0.000001)*('Thông tin lớp học'!$J$10:$J$49&gt;$A9+0.000001))=0,"",IF(SUMPRODUCT(('Hoạt động'!$A$5:$A$104=C$5)*('Hoạt động'!$B$5:$B$104&lt;=$A9+0.000001)*('Hoạt động'!$C$5:$C$104&gt;$A9+0.000001))+SUMPRODUCT(('Thông tin lớp học'!$H$10:$H$49=C$4)*('Thông tin lớp học'!$I$10:$I$49&lt;=$A9+0.000001)*('Thông tin lớp học'!$J$10:$J$49&gt;$A9+0.000001))&gt;1,"⚠ Trùng lịch",IF(SUMPRODUCT(('Hoạt động'!$A$5:$A$104=C$5)*('Hoạt động'!$B$5:$B$104&lt;=$A9+0.000001)*('Hoạt động'!$C$5:$C$104&gt;$A9+0.000001))=1,INDEX('Hoạt động'!$D$5:$D$104,SUMPRODUCT(('Hoạt động'!$A$5:$A$104=C$5)*('Hoạt động'!$B$5:$B$104&lt;=$A9+0.000001)*('Hoạt động'!$C$5:$C$104&gt;$A9+0.000001)*(ROW('Hoạt động'!$A$5:$A$104)-4))),INDEX('Thông tin lớp học'!$G$10:$G$49,SUMPRODUCT(('Thông tin lớp học'!$H$10:$H$49=C$4)*('Thông tin lớp học'!$I$10:$I$49&lt;=$A9+0.000001)*('Thông tin lớp học'!$J$10:$J$49&gt;$A9+0.000001)*(ROW('Thông tin lớp học'!$H$10:$H$49)-9))))))</f>
        <v>Lập trình C++</v>
      </c>
      <c r="D9" s="123" t="str">
        <f t="array" ref="D9">IF(SUMPRODUCT(('Hoạt động'!$A$5:$A$104=D$5)*('Hoạt động'!$B$5:$B$104&lt;=$A9+0.000001)*('Hoạt động'!$C$5:$C$104&gt;$A9+0.000001))+SUMPRODUCT(('Thông tin lớp học'!$H$10:$H$49=D$4)*('Thông tin lớp học'!$I$10:$I$49&lt;=$A9+0.000001)*('Thông tin lớp học'!$J$10:$J$49&gt;$A9+0.000001))=0,"",IF(SUMPRODUCT(('Hoạt động'!$A$5:$A$104=D$5)*('Hoạt động'!$B$5:$B$104&lt;=$A9+0.000001)*('Hoạt động'!$C$5:$C$104&gt;$A9+0.000001))+SUMPRODUCT(('Thông tin lớp học'!$H$10:$H$49=D$4)*('Thông tin lớp học'!$I$10:$I$49&lt;=$A9+0.000001)*('Thông tin lớp học'!$J$10:$J$49&gt;$A9+0.000001))&gt;1,"⚠ Trùng lịch",IF(SUMPRODUCT(('Hoạt động'!$A$5:$A$104=D$5)*('Hoạt động'!$B$5:$B$104&lt;=$A9+0.000001)*('Hoạt động'!$C$5:$C$104&gt;$A9+0.000001))=1,INDEX('Hoạt động'!$D$5:$D$104,SUMPRODUCT(('Hoạt động'!$A$5:$A$104=D$5)*('Hoạt động'!$B$5:$B$104&lt;=$A9+0.000001)*('Hoạt động'!$C$5:$C$104&gt;$A9+0.000001)*(ROW('Hoạt động'!$A$5:$A$104)-4))),INDEX('Thông tin lớp học'!$G$10:$G$49,SUMPRODUCT(('Thông tin lớp học'!$H$10:$H$49=D$4)*('Thông tin lớp học'!$I$10:$I$49&lt;=$A9+0.000001)*('Thông tin lớp học'!$J$10:$J$49&gt;$A9+0.000001)*(ROW('Thông tin lớp học'!$H$10:$H$49)-9))))))</f>
        <v/>
      </c>
      <c r="E9" s="123" t="str">
        <f t="array" ref="E9">IF(SUMPRODUCT(('Hoạt động'!$A$5:$A$104=E$5)*('Hoạt động'!$B$5:$B$104&lt;=$A9+0.000001)*('Hoạt động'!$C$5:$C$104&gt;$A9+0.000001))+SUMPRODUCT(('Thông tin lớp học'!$H$10:$H$49=E$4)*('Thông tin lớp học'!$I$10:$I$49&lt;=$A9+0.000001)*('Thông tin lớp học'!$J$10:$J$49&gt;$A9+0.000001))=0,"",IF(SUMPRODUCT(('Hoạt động'!$A$5:$A$104=E$5)*('Hoạt động'!$B$5:$B$104&lt;=$A9+0.000001)*('Hoạt động'!$C$5:$C$104&gt;$A9+0.000001))+SUMPRODUCT(('Thông tin lớp học'!$H$10:$H$49=E$4)*('Thông tin lớp học'!$I$10:$I$49&lt;=$A9+0.000001)*('Thông tin lớp học'!$J$10:$J$49&gt;$A9+0.000001))&gt;1,"⚠ Trùng lịch",IF(SUMPRODUCT(('Hoạt động'!$A$5:$A$104=E$5)*('Hoạt động'!$B$5:$B$104&lt;=$A9+0.000001)*('Hoạt động'!$C$5:$C$104&gt;$A9+0.000001))=1,INDEX('Hoạt động'!$D$5:$D$104,SUMPRODUCT(('Hoạt động'!$A$5:$A$104=E$5)*('Hoạt động'!$B$5:$B$104&lt;=$A9+0.000001)*('Hoạt động'!$C$5:$C$104&gt;$A9+0.000001)*(ROW('Hoạt động'!$A$5:$A$104)-4))),INDEX('Thông tin lớp học'!$G$10:$G$49,SUMPRODUCT(('Thông tin lớp học'!$H$10:$H$49=E$4)*('Thông tin lớp học'!$I$10:$I$49&lt;=$A9+0.000001)*('Thông tin lớp học'!$J$10:$J$49&gt;$A9+0.000001)*(ROW('Thông tin lớp học'!$H$10:$H$49)-9))))))</f>
        <v/>
      </c>
      <c r="F9" s="123" t="str">
        <f t="array" ref="F9">IF(SUMPRODUCT(('Hoạt động'!$A$5:$A$104=F$5)*('Hoạt động'!$B$5:$B$104&lt;=$A9+0.000001)*('Hoạt động'!$C$5:$C$104&gt;$A9+0.000001))+SUMPRODUCT(('Thông tin lớp học'!$H$10:$H$49=F$4)*('Thông tin lớp học'!$I$10:$I$49&lt;=$A9+0.000001)*('Thông tin lớp học'!$J$10:$J$49&gt;$A9+0.000001))=0,"",IF(SUMPRODUCT(('Hoạt động'!$A$5:$A$104=F$5)*('Hoạt động'!$B$5:$B$104&lt;=$A9+0.000001)*('Hoạt động'!$C$5:$C$104&gt;$A9+0.000001))+SUMPRODUCT(('Thông tin lớp học'!$H$10:$H$49=F$4)*('Thông tin lớp học'!$I$10:$I$49&lt;=$A9+0.000001)*('Thông tin lớp học'!$J$10:$J$49&gt;$A9+0.000001))&gt;1,"⚠ Trùng lịch",IF(SUMPRODUCT(('Hoạt động'!$A$5:$A$104=F$5)*('Hoạt động'!$B$5:$B$104&lt;=$A9+0.000001)*('Hoạt động'!$C$5:$C$104&gt;$A9+0.000001))=1,INDEX('Hoạt động'!$D$5:$D$104,SUMPRODUCT(('Hoạt động'!$A$5:$A$104=F$5)*('Hoạt động'!$B$5:$B$104&lt;=$A9+0.000001)*('Hoạt động'!$C$5:$C$104&gt;$A9+0.000001)*(ROW('Hoạt động'!$A$5:$A$104)-4))),INDEX('Thông tin lớp học'!$G$10:$G$49,SUMPRODUCT(('Thông tin lớp học'!$H$10:$H$49=F$4)*('Thông tin lớp học'!$I$10:$I$49&lt;=$A9+0.000001)*('Thông tin lớp học'!$J$10:$J$49&gt;$A9+0.000001)*(ROW('Thông tin lớp học'!$H$10:$H$49)-9))))))</f>
        <v/>
      </c>
      <c r="G9" s="123" t="str">
        <f t="array" ref="G9">IF(SUMPRODUCT(('Hoạt động'!$A$5:$A$104=G$5)*('Hoạt động'!$B$5:$B$104&lt;=$A9+0.000001)*('Hoạt động'!$C$5:$C$104&gt;$A9+0.000001))+SUMPRODUCT(('Thông tin lớp học'!$H$10:$H$49=G$4)*('Thông tin lớp học'!$I$10:$I$49&lt;=$A9+0.000001)*('Thông tin lớp học'!$J$10:$J$49&gt;$A9+0.000001))=0,"",IF(SUMPRODUCT(('Hoạt động'!$A$5:$A$104=G$5)*('Hoạt động'!$B$5:$B$104&lt;=$A9+0.000001)*('Hoạt động'!$C$5:$C$104&gt;$A9+0.000001))+SUMPRODUCT(('Thông tin lớp học'!$H$10:$H$49=G$4)*('Thông tin lớp học'!$I$10:$I$49&lt;=$A9+0.000001)*('Thông tin lớp học'!$J$10:$J$49&gt;$A9+0.000001))&gt;1,"⚠ Trùng lịch",IF(SUMPRODUCT(('Hoạt động'!$A$5:$A$104=G$5)*('Hoạt động'!$B$5:$B$104&lt;=$A9+0.000001)*('Hoạt động'!$C$5:$C$104&gt;$A9+0.000001))=1,INDEX('Hoạt động'!$D$5:$D$104,SUMPRODUCT(('Hoạt động'!$A$5:$A$104=G$5)*('Hoạt động'!$B$5:$B$104&lt;=$A9+0.000001)*('Hoạt động'!$C$5:$C$104&gt;$A9+0.000001)*(ROW('Hoạt động'!$A$5:$A$104)-4))),INDEX('Thông tin lớp học'!$G$10:$G$49,SUMPRODUCT(('Thông tin lớp học'!$H$10:$H$49=G$4)*('Thông tin lớp học'!$I$10:$I$49&lt;=$A9+0.000001)*('Thông tin lớp học'!$J$10:$J$49&gt;$A9+0.000001)*(ROW('Thông tin lớp học'!$H$10:$H$49)-9))))))</f>
        <v/>
      </c>
      <c r="H9" s="123" t="str">
        <f t="array" ref="H9">IF(SUMPRODUCT(('Hoạt động'!$A$5:$A$104=H$5)*('Hoạt động'!$B$5:$B$104&lt;=$A9+0.000001)*('Hoạt động'!$C$5:$C$104&gt;$A9+0.000001))+SUMPRODUCT(('Thông tin lớp học'!$H$10:$H$49=H$4)*('Thông tin lớp học'!$I$10:$I$49&lt;=$A9+0.000001)*('Thông tin lớp học'!$J$10:$J$49&gt;$A9+0.000001))=0,"",IF(SUMPRODUCT(('Hoạt động'!$A$5:$A$104=H$5)*('Hoạt động'!$B$5:$B$104&lt;=$A9+0.000001)*('Hoạt động'!$C$5:$C$104&gt;$A9+0.000001))+SUMPRODUCT(('Thông tin lớp học'!$H$10:$H$49=H$4)*('Thông tin lớp học'!$I$10:$I$49&lt;=$A9+0.000001)*('Thông tin lớp học'!$J$10:$J$49&gt;$A9+0.000001))&gt;1,"⚠ Trùng lịch",IF(SUMPRODUCT(('Hoạt động'!$A$5:$A$104=H$5)*('Hoạt động'!$B$5:$B$104&lt;=$A9+0.000001)*('Hoạt động'!$C$5:$C$104&gt;$A9+0.000001))=1,INDEX('Hoạt động'!$D$5:$D$104,SUMPRODUCT(('Hoạt động'!$A$5:$A$104=H$5)*('Hoạt động'!$B$5:$B$104&lt;=$A9+0.000001)*('Hoạt động'!$C$5:$C$104&gt;$A9+0.000001)*(ROW('Hoạt động'!$A$5:$A$104)-4))),INDEX('Thông tin lớp học'!$G$10:$G$49,SUMPRODUCT(('Thông tin lớp học'!$H$10:$H$49=H$4)*('Thông tin lớp học'!$I$10:$I$49&lt;=$A9+0.000001)*('Thông tin lớp học'!$J$10:$J$49&gt;$A9+0.000001)*(ROW('Thông tin lớp học'!$H$10:$H$49)-9))))))</f>
        <v/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6">
        <v>0.333333333333333</v>
      </c>
      <c r="B10" s="123" t="str">
        <f t="array" ref="B10">IF(SUMPRODUCT(('Hoạt động'!$A$5:$A$104=B$5)*('Hoạt động'!$B$5:$B$104&lt;=$A10+0.000001)*('Hoạt động'!$C$5:$C$104&gt;$A10+0.000001))+SUMPRODUCT(('Thông tin lớp học'!$H$10:$H$49=B$4)*('Thông tin lớp học'!$I$10:$I$49&lt;=$A10+0.000001)*('Thông tin lớp học'!$J$10:$J$49&gt;$A10+0.000001))=0,"",IF(SUMPRODUCT(('Hoạt động'!$A$5:$A$104=B$5)*('Hoạt động'!$B$5:$B$104&lt;=$A10+0.000001)*('Hoạt động'!$C$5:$C$104&gt;$A10+0.000001))+SUMPRODUCT(('Thông tin lớp học'!$H$10:$H$49=B$4)*('Thông tin lớp học'!$I$10:$I$49&lt;=$A10+0.000001)*('Thông tin lớp học'!$J$10:$J$49&gt;$A10+0.000001))&gt;1,"⚠ Trùng lịch",IF(SUMPRODUCT(('Hoạt động'!$A$5:$A$104=B$5)*('Hoạt động'!$B$5:$B$104&lt;=$A10+0.000001)*('Hoạt động'!$C$5:$C$104&gt;$A10+0.000001))=1,INDEX('Hoạt động'!$D$5:$D$104,SUMPRODUCT(('Hoạt động'!$A$5:$A$104=B$5)*('Hoạt động'!$B$5:$B$104&lt;=$A10+0.000001)*('Hoạt động'!$C$5:$C$104&gt;$A10+0.000001)*(ROW('Hoạt động'!$A$5:$A$104)-4))),INDEX('Thông tin lớp học'!$G$10:$G$49,SUMPRODUCT(('Thông tin lớp học'!$H$10:$H$49=B$4)*('Thông tin lớp học'!$I$10:$I$49&lt;=$A10+0.000001)*('Thông tin lớp học'!$J$10:$J$49&gt;$A10+0.000001)*(ROW('Thông tin lớp học'!$H$10:$H$49)-9))))))</f>
        <v>Toán cao cấp</v>
      </c>
      <c r="C10" s="123" t="str">
        <f t="array" ref="C10">IF(SUMPRODUCT(('Hoạt động'!$A$5:$A$104=C$5)*('Hoạt động'!$B$5:$B$104&lt;=$A10+0.000001)*('Hoạt động'!$C$5:$C$104&gt;$A10+0.000001))+SUMPRODUCT(('Thông tin lớp học'!$H$10:$H$49=C$4)*('Thông tin lớp học'!$I$10:$I$49&lt;=$A10+0.000001)*('Thông tin lớp học'!$J$10:$J$49&gt;$A10+0.000001))=0,"",IF(SUMPRODUCT(('Hoạt động'!$A$5:$A$104=C$5)*('Hoạt động'!$B$5:$B$104&lt;=$A10+0.000001)*('Hoạt động'!$C$5:$C$104&gt;$A10+0.000001))+SUMPRODUCT(('Thông tin lớp học'!$H$10:$H$49=C$4)*('Thông tin lớp học'!$I$10:$I$49&lt;=$A10+0.000001)*('Thông tin lớp học'!$J$10:$J$49&gt;$A10+0.000001))&gt;1,"⚠ Trùng lịch",IF(SUMPRODUCT(('Hoạt động'!$A$5:$A$104=C$5)*('Hoạt động'!$B$5:$B$104&lt;=$A10+0.000001)*('Hoạt động'!$C$5:$C$104&gt;$A10+0.000001))=1,INDEX('Hoạt động'!$D$5:$D$104,SUMPRODUCT(('Hoạt động'!$A$5:$A$104=C$5)*('Hoạt động'!$B$5:$B$104&lt;=$A10+0.000001)*('Hoạt động'!$C$5:$C$104&gt;$A10+0.000001)*(ROW('Hoạt động'!$A$5:$A$104)-4))),INDEX('Thông tin lớp học'!$G$10:$G$49,SUMPRODUCT(('Thông tin lớp học'!$H$10:$H$49=C$4)*('Thông tin lớp học'!$I$10:$I$49&lt;=$A10+0.000001)*('Thông tin lớp học'!$J$10:$J$49&gt;$A10+0.000001)*(ROW('Thông tin lớp học'!$H$10:$H$49)-9))))))</f>
        <v>Lập trình C++</v>
      </c>
      <c r="D10" s="123" t="str">
        <f t="array" ref="D10">IF(SUMPRODUCT(('Hoạt động'!$A$5:$A$104=D$5)*('Hoạt động'!$B$5:$B$104&lt;=$A10+0.000001)*('Hoạt động'!$C$5:$C$104&gt;$A10+0.000001))+SUMPRODUCT(('Thông tin lớp học'!$H$10:$H$49=D$4)*('Thông tin lớp học'!$I$10:$I$49&lt;=$A10+0.000001)*('Thông tin lớp học'!$J$10:$J$49&gt;$A10+0.000001))=0,"",IF(SUMPRODUCT(('Hoạt động'!$A$5:$A$104=D$5)*('Hoạt động'!$B$5:$B$104&lt;=$A10+0.000001)*('Hoạt động'!$C$5:$C$104&gt;$A10+0.000001))+SUMPRODUCT(('Thông tin lớp học'!$H$10:$H$49=D$4)*('Thông tin lớp học'!$I$10:$I$49&lt;=$A10+0.000001)*('Thông tin lớp học'!$J$10:$J$49&gt;$A10+0.000001))&gt;1,"⚠ Trùng lịch",IF(SUMPRODUCT(('Hoạt động'!$A$5:$A$104=D$5)*('Hoạt động'!$B$5:$B$104&lt;=$A10+0.000001)*('Hoạt động'!$C$5:$C$104&gt;$A10+0.000001))=1,INDEX('Hoạt động'!$D$5:$D$104,SUMPRODUCT(('Hoạt động'!$A$5:$A$104=D$5)*('Hoạt động'!$B$5:$B$104&lt;=$A10+0.000001)*('Hoạt động'!$C$5:$C$104&gt;$A10+0.000001)*(ROW('Hoạt động'!$A$5:$A$104)-4))),INDEX('Thông tin lớp học'!$G$10:$G$49,SUMPRODUCT(('Thông tin lớp học'!$H$10:$H$49=D$4)*('Thông tin lớp học'!$I$10:$I$49&lt;=$A10+0.000001)*('Thông tin lớp học'!$J$10:$J$49&gt;$A10+0.000001)*(ROW('Thông tin lớp học'!$H$10:$H$49)-9))))))</f>
        <v/>
      </c>
      <c r="E10" s="123" t="str">
        <f t="array" ref="E10">IF(SUMPRODUCT(('Hoạt động'!$A$5:$A$104=E$5)*('Hoạt động'!$B$5:$B$104&lt;=$A10+0.000001)*('Hoạt động'!$C$5:$C$104&gt;$A10+0.000001))+SUMPRODUCT(('Thông tin lớp học'!$H$10:$H$49=E$4)*('Thông tin lớp học'!$I$10:$I$49&lt;=$A10+0.000001)*('Thông tin lớp học'!$J$10:$J$49&gt;$A10+0.000001))=0,"",IF(SUMPRODUCT(('Hoạt động'!$A$5:$A$104=E$5)*('Hoạt động'!$B$5:$B$104&lt;=$A10+0.000001)*('Hoạt động'!$C$5:$C$104&gt;$A10+0.000001))+SUMPRODUCT(('Thông tin lớp học'!$H$10:$H$49=E$4)*('Thông tin lớp học'!$I$10:$I$49&lt;=$A10+0.000001)*('Thông tin lớp học'!$J$10:$J$49&gt;$A10+0.000001))&gt;1,"⚠ Trùng lịch",IF(SUMPRODUCT(('Hoạt động'!$A$5:$A$104=E$5)*('Hoạt động'!$B$5:$B$104&lt;=$A10+0.000001)*('Hoạt động'!$C$5:$C$104&gt;$A10+0.000001))=1,INDEX('Hoạt động'!$D$5:$D$104,SUMPRODUCT(('Hoạt động'!$A$5:$A$104=E$5)*('Hoạt động'!$B$5:$B$104&lt;=$A10+0.000001)*('Hoạt động'!$C$5:$C$104&gt;$A10+0.000001)*(ROW('Hoạt động'!$A$5:$A$104)-4))),INDEX('Thông tin lớp học'!$G$10:$G$49,SUMPRODUCT(('Thông tin lớp học'!$H$10:$H$49=E$4)*('Thông tin lớp học'!$I$10:$I$49&lt;=$A10+0.000001)*('Thông tin lớp học'!$J$10:$J$49&gt;$A10+0.000001)*(ROW('Thông tin lớp học'!$H$10:$H$49)-9))))))</f>
        <v/>
      </c>
      <c r="F10" s="123" t="str">
        <f t="array" ref="F10">IF(SUMPRODUCT(('Hoạt động'!$A$5:$A$104=F$5)*('Hoạt động'!$B$5:$B$104&lt;=$A10+0.000001)*('Hoạt động'!$C$5:$C$104&gt;$A10+0.000001))+SUMPRODUCT(('Thông tin lớp học'!$H$10:$H$49=F$4)*('Thông tin lớp học'!$I$10:$I$49&lt;=$A10+0.000001)*('Thông tin lớp học'!$J$10:$J$49&gt;$A10+0.000001))=0,"",IF(SUMPRODUCT(('Hoạt động'!$A$5:$A$104=F$5)*('Hoạt động'!$B$5:$B$104&lt;=$A10+0.000001)*('Hoạt động'!$C$5:$C$104&gt;$A10+0.000001))+SUMPRODUCT(('Thông tin lớp học'!$H$10:$H$49=F$4)*('Thông tin lớp học'!$I$10:$I$49&lt;=$A10+0.000001)*('Thông tin lớp học'!$J$10:$J$49&gt;$A10+0.000001))&gt;1,"⚠ Trùng lịch",IF(SUMPRODUCT(('Hoạt động'!$A$5:$A$104=F$5)*('Hoạt động'!$B$5:$B$104&lt;=$A10+0.000001)*('Hoạt động'!$C$5:$C$104&gt;$A10+0.000001))=1,INDEX('Hoạt động'!$D$5:$D$104,SUMPRODUCT(('Hoạt động'!$A$5:$A$104=F$5)*('Hoạt động'!$B$5:$B$104&lt;=$A10+0.000001)*('Hoạt động'!$C$5:$C$104&gt;$A10+0.000001)*(ROW('Hoạt động'!$A$5:$A$104)-4))),INDEX('Thông tin lớp học'!$G$10:$G$49,SUMPRODUCT(('Thông tin lớp học'!$H$10:$H$49=F$4)*('Thông tin lớp học'!$I$10:$I$49&lt;=$A10+0.000001)*('Thông tin lớp học'!$J$10:$J$49&gt;$A10+0.000001)*(ROW('Thông tin lớp học'!$H$10:$H$49)-9))))))</f>
        <v>Lập trình C++</v>
      </c>
      <c r="G10" s="123" t="str">
        <f t="array" ref="G10">IF(SUMPRODUCT(('Hoạt động'!$A$5:$A$104=G$5)*('Hoạt động'!$B$5:$B$104&lt;=$A10+0.000001)*('Hoạt động'!$C$5:$C$104&gt;$A10+0.000001))+SUMPRODUCT(('Thông tin lớp học'!$H$10:$H$49=G$4)*('Thông tin lớp học'!$I$10:$I$49&lt;=$A10+0.000001)*('Thông tin lớp học'!$J$10:$J$49&gt;$A10+0.000001))=0,"",IF(SUMPRODUCT(('Hoạt động'!$A$5:$A$104=G$5)*('Hoạt động'!$B$5:$B$104&lt;=$A10+0.000001)*('Hoạt động'!$C$5:$C$104&gt;$A10+0.000001))+SUMPRODUCT(('Thông tin lớp học'!$H$10:$H$49=G$4)*('Thông tin lớp học'!$I$10:$I$49&lt;=$A10+0.000001)*('Thông tin lớp học'!$J$10:$J$49&gt;$A10+0.000001))&gt;1,"⚠ Trùng lịch",IF(SUMPRODUCT(('Hoạt động'!$A$5:$A$104=G$5)*('Hoạt động'!$B$5:$B$104&lt;=$A10+0.000001)*('Hoạt động'!$C$5:$C$104&gt;$A10+0.000001))=1,INDEX('Hoạt động'!$D$5:$D$104,SUMPRODUCT(('Hoạt động'!$A$5:$A$104=G$5)*('Hoạt động'!$B$5:$B$104&lt;=$A10+0.000001)*('Hoạt động'!$C$5:$C$104&gt;$A10+0.000001)*(ROW('Hoạt động'!$A$5:$A$104)-4))),INDEX('Thông tin lớp học'!$G$10:$G$49,SUMPRODUCT(('Thông tin lớp học'!$H$10:$H$49=G$4)*('Thông tin lớp học'!$I$10:$I$49&lt;=$A10+0.000001)*('Thông tin lớp học'!$J$10:$J$49&gt;$A10+0.000001)*(ROW('Thông tin lớp học'!$H$10:$H$49)-9))))))</f>
        <v/>
      </c>
      <c r="H10" s="123" t="str">
        <f t="array" ref="H10">IF(SUMPRODUCT(('Hoạt động'!$A$5:$A$104=H$5)*('Hoạt động'!$B$5:$B$104&lt;=$A10+0.000001)*('Hoạt động'!$C$5:$C$104&gt;$A10+0.000001))+SUMPRODUCT(('Thông tin lớp học'!$H$10:$H$49=H$4)*('Thông tin lớp học'!$I$10:$I$49&lt;=$A10+0.000001)*('Thông tin lớp học'!$J$10:$J$49&gt;$A10+0.000001))=0,"",IF(SUMPRODUCT(('Hoạt động'!$A$5:$A$104=H$5)*('Hoạt động'!$B$5:$B$104&lt;=$A10+0.000001)*('Hoạt động'!$C$5:$C$104&gt;$A10+0.000001))+SUMPRODUCT(('Thông tin lớp học'!$H$10:$H$49=H$4)*('Thông tin lớp học'!$I$10:$I$49&lt;=$A10+0.000001)*('Thông tin lớp học'!$J$10:$J$49&gt;$A10+0.000001))&gt;1,"⚠ Trùng lịch",IF(SUMPRODUCT(('Hoạt động'!$A$5:$A$104=H$5)*('Hoạt động'!$B$5:$B$104&lt;=$A10+0.000001)*('Hoạt động'!$C$5:$C$104&gt;$A10+0.000001))=1,INDEX('Hoạt động'!$D$5:$D$104,SUMPRODUCT(('Hoạt động'!$A$5:$A$104=H$5)*('Hoạt động'!$B$5:$B$104&lt;=$A10+0.000001)*('Hoạt động'!$C$5:$C$104&gt;$A10+0.000001)*(ROW('Hoạt động'!$A$5:$A$104)-4))),INDEX('Thông tin lớp học'!$G$10:$G$49,SUMPRODUCT(('Thông tin lớp học'!$H$10:$H$49=H$4)*('Thông tin lớp học'!$I$10:$I$49&lt;=$A10+0.000001)*('Thông tin lớp học'!$J$10:$J$49&gt;$A10+0.000001)*(ROW('Thông tin lớp học'!$H$10:$H$49)-9))))))</f>
        <v/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6">
        <v>0.354166666666667</v>
      </c>
      <c r="B11" s="123" t="str">
        <f t="array" ref="B11">IF(SUMPRODUCT(('Hoạt động'!$A$5:$A$104=B$5)*('Hoạt động'!$B$5:$B$104&lt;=$A11+0.000001)*('Hoạt động'!$C$5:$C$104&gt;$A11+0.000001))+SUMPRODUCT(('Thông tin lớp học'!$H$10:$H$49=B$4)*('Thông tin lớp học'!$I$10:$I$49&lt;=$A11+0.000001)*('Thông tin lớp học'!$J$10:$J$49&gt;$A11+0.000001))=0,"",IF(SUMPRODUCT(('Hoạt động'!$A$5:$A$104=B$5)*('Hoạt động'!$B$5:$B$104&lt;=$A11+0.000001)*('Hoạt động'!$C$5:$C$104&gt;$A11+0.000001))+SUMPRODUCT(('Thông tin lớp học'!$H$10:$H$49=B$4)*('Thông tin lớp học'!$I$10:$I$49&lt;=$A11+0.000001)*('Thông tin lớp học'!$J$10:$J$49&gt;$A11+0.000001))&gt;1,"⚠ Trùng lịch",IF(SUMPRODUCT(('Hoạt động'!$A$5:$A$104=B$5)*('Hoạt động'!$B$5:$B$104&lt;=$A11+0.000001)*('Hoạt động'!$C$5:$C$104&gt;$A11+0.000001))=1,INDEX('Hoạt động'!$D$5:$D$104,SUMPRODUCT(('Hoạt động'!$A$5:$A$104=B$5)*('Hoạt động'!$B$5:$B$104&lt;=$A11+0.000001)*('Hoạt động'!$C$5:$C$104&gt;$A11+0.000001)*(ROW('Hoạt động'!$A$5:$A$104)-4))),INDEX('Thông tin lớp học'!$G$10:$G$49,SUMPRODUCT(('Thông tin lớp học'!$H$10:$H$49=B$4)*('Thông tin lớp học'!$I$10:$I$49&lt;=$A11+0.000001)*('Thông tin lớp học'!$J$10:$J$49&gt;$A11+0.000001)*(ROW('Thông tin lớp học'!$H$10:$H$49)-9))))))</f>
        <v>Toán cao cấp</v>
      </c>
      <c r="C11" s="123" t="str">
        <f t="array" ref="C11">IF(SUMPRODUCT(('Hoạt động'!$A$5:$A$104=C$5)*('Hoạt động'!$B$5:$B$104&lt;=$A11+0.000001)*('Hoạt động'!$C$5:$C$104&gt;$A11+0.000001))+SUMPRODUCT(('Thông tin lớp học'!$H$10:$H$49=C$4)*('Thông tin lớp học'!$I$10:$I$49&lt;=$A11+0.000001)*('Thông tin lớp học'!$J$10:$J$49&gt;$A11+0.000001))=0,"",IF(SUMPRODUCT(('Hoạt động'!$A$5:$A$104=C$5)*('Hoạt động'!$B$5:$B$104&lt;=$A11+0.000001)*('Hoạt động'!$C$5:$C$104&gt;$A11+0.000001))+SUMPRODUCT(('Thông tin lớp học'!$H$10:$H$49=C$4)*('Thông tin lớp học'!$I$10:$I$49&lt;=$A11+0.000001)*('Thông tin lớp học'!$J$10:$J$49&gt;$A11+0.000001))&gt;1,"⚠ Trùng lịch",IF(SUMPRODUCT(('Hoạt động'!$A$5:$A$104=C$5)*('Hoạt động'!$B$5:$B$104&lt;=$A11+0.000001)*('Hoạt động'!$C$5:$C$104&gt;$A11+0.000001))=1,INDEX('Hoạt động'!$D$5:$D$104,SUMPRODUCT(('Hoạt động'!$A$5:$A$104=C$5)*('Hoạt động'!$B$5:$B$104&lt;=$A11+0.000001)*('Hoạt động'!$C$5:$C$104&gt;$A11+0.000001)*(ROW('Hoạt động'!$A$5:$A$104)-4))),INDEX('Thông tin lớp học'!$G$10:$G$49,SUMPRODUCT(('Thông tin lớp học'!$H$10:$H$49=C$4)*('Thông tin lớp học'!$I$10:$I$49&lt;=$A11+0.000001)*('Thông tin lớp học'!$J$10:$J$49&gt;$A11+0.000001)*(ROW('Thông tin lớp học'!$H$10:$H$49)-9))))))</f>
        <v>Lập trình C++</v>
      </c>
      <c r="D11" s="123" t="str">
        <f t="array" ref="D11">IF(SUMPRODUCT(('Hoạt động'!$A$5:$A$104=D$5)*('Hoạt động'!$B$5:$B$104&lt;=$A11+0.000001)*('Hoạt động'!$C$5:$C$104&gt;$A11+0.000001))+SUMPRODUCT(('Thông tin lớp học'!$H$10:$H$49=D$4)*('Thông tin lớp học'!$I$10:$I$49&lt;=$A11+0.000001)*('Thông tin lớp học'!$J$10:$J$49&gt;$A11+0.000001))=0,"",IF(SUMPRODUCT(('Hoạt động'!$A$5:$A$104=D$5)*('Hoạt động'!$B$5:$B$104&lt;=$A11+0.000001)*('Hoạt động'!$C$5:$C$104&gt;$A11+0.000001))+SUMPRODUCT(('Thông tin lớp học'!$H$10:$H$49=D$4)*('Thông tin lớp học'!$I$10:$I$49&lt;=$A11+0.000001)*('Thông tin lớp học'!$J$10:$J$49&gt;$A11+0.000001))&gt;1,"⚠ Trùng lịch",IF(SUMPRODUCT(('Hoạt động'!$A$5:$A$104=D$5)*('Hoạt động'!$B$5:$B$104&lt;=$A11+0.000001)*('Hoạt động'!$C$5:$C$104&gt;$A11+0.000001))=1,INDEX('Hoạt động'!$D$5:$D$104,SUMPRODUCT(('Hoạt động'!$A$5:$A$104=D$5)*('Hoạt động'!$B$5:$B$104&lt;=$A11+0.000001)*('Hoạt động'!$C$5:$C$104&gt;$A11+0.000001)*(ROW('Hoạt động'!$A$5:$A$104)-4))),INDEX('Thông tin lớp học'!$G$10:$G$49,SUMPRODUCT(('Thông tin lớp học'!$H$10:$H$49=D$4)*('Thông tin lớp học'!$I$10:$I$49&lt;=$A11+0.000001)*('Thông tin lớp học'!$J$10:$J$49&gt;$A11+0.000001)*(ROW('Thông tin lớp học'!$H$10:$H$49)-9))))))</f>
        <v/>
      </c>
      <c r="E11" s="123" t="str">
        <f t="array" ref="E11">IF(SUMPRODUCT(('Hoạt động'!$A$5:$A$104=E$5)*('Hoạt động'!$B$5:$B$104&lt;=$A11+0.000001)*('Hoạt động'!$C$5:$C$104&gt;$A11+0.000001))+SUMPRODUCT(('Thông tin lớp học'!$H$10:$H$49=E$4)*('Thông tin lớp học'!$I$10:$I$49&lt;=$A11+0.000001)*('Thông tin lớp học'!$J$10:$J$49&gt;$A11+0.000001))=0,"",IF(SUMPRODUCT(('Hoạt động'!$A$5:$A$104=E$5)*('Hoạt động'!$B$5:$B$104&lt;=$A11+0.000001)*('Hoạt động'!$C$5:$C$104&gt;$A11+0.000001))+SUMPRODUCT(('Thông tin lớp học'!$H$10:$H$49=E$4)*('Thông tin lớp học'!$I$10:$I$49&lt;=$A11+0.000001)*('Thông tin lớp học'!$J$10:$J$49&gt;$A11+0.000001))&gt;1,"⚠ Trùng lịch",IF(SUMPRODUCT(('Hoạt động'!$A$5:$A$104=E$5)*('Hoạt động'!$B$5:$B$104&lt;=$A11+0.000001)*('Hoạt động'!$C$5:$C$104&gt;$A11+0.000001))=1,INDEX('Hoạt động'!$D$5:$D$104,SUMPRODUCT(('Hoạt động'!$A$5:$A$104=E$5)*('Hoạt động'!$B$5:$B$104&lt;=$A11+0.000001)*('Hoạt động'!$C$5:$C$104&gt;$A11+0.000001)*(ROW('Hoạt động'!$A$5:$A$104)-4))),INDEX('Thông tin lớp học'!$G$10:$G$49,SUMPRODUCT(('Thông tin lớp học'!$H$10:$H$49=E$4)*('Thông tin lớp học'!$I$10:$I$49&lt;=$A11+0.000001)*('Thông tin lớp học'!$J$10:$J$49&gt;$A11+0.000001)*(ROW('Thông tin lớp học'!$H$10:$H$49)-9))))))</f>
        <v/>
      </c>
      <c r="F11" s="123" t="str">
        <f t="array" ref="F11">IF(SUMPRODUCT(('Hoạt động'!$A$5:$A$104=F$5)*('Hoạt động'!$B$5:$B$104&lt;=$A11+0.000001)*('Hoạt động'!$C$5:$C$104&gt;$A11+0.000001))+SUMPRODUCT(('Thông tin lớp học'!$H$10:$H$49=F$4)*('Thông tin lớp học'!$I$10:$I$49&lt;=$A11+0.000001)*('Thông tin lớp học'!$J$10:$J$49&gt;$A11+0.000001))=0,"",IF(SUMPRODUCT(('Hoạt động'!$A$5:$A$104=F$5)*('Hoạt động'!$B$5:$B$104&lt;=$A11+0.000001)*('Hoạt động'!$C$5:$C$104&gt;$A11+0.000001))+SUMPRODUCT(('Thông tin lớp học'!$H$10:$H$49=F$4)*('Thông tin lớp học'!$I$10:$I$49&lt;=$A11+0.000001)*('Thông tin lớp học'!$J$10:$J$49&gt;$A11+0.000001))&gt;1,"⚠ Trùng lịch",IF(SUMPRODUCT(('Hoạt động'!$A$5:$A$104=F$5)*('Hoạt động'!$B$5:$B$104&lt;=$A11+0.000001)*('Hoạt động'!$C$5:$C$104&gt;$A11+0.000001))=1,INDEX('Hoạt động'!$D$5:$D$104,SUMPRODUCT(('Hoạt động'!$A$5:$A$104=F$5)*('Hoạt động'!$B$5:$B$104&lt;=$A11+0.000001)*('Hoạt động'!$C$5:$C$104&gt;$A11+0.000001)*(ROW('Hoạt động'!$A$5:$A$104)-4))),INDEX('Thông tin lớp học'!$G$10:$G$49,SUMPRODUCT(('Thông tin lớp học'!$H$10:$H$49=F$4)*('Thông tin lớp học'!$I$10:$I$49&lt;=$A11+0.000001)*('Thông tin lớp học'!$J$10:$J$49&gt;$A11+0.000001)*(ROW('Thông tin lớp học'!$H$10:$H$49)-9))))))</f>
        <v>Lập trình C++</v>
      </c>
      <c r="G11" s="123" t="str">
        <f t="array" ref="G11">IF(SUMPRODUCT(('Hoạt động'!$A$5:$A$104=G$5)*('Hoạt động'!$B$5:$B$104&lt;=$A11+0.000001)*('Hoạt động'!$C$5:$C$104&gt;$A11+0.000001))+SUMPRODUCT(('Thông tin lớp học'!$H$10:$H$49=G$4)*('Thông tin lớp học'!$I$10:$I$49&lt;=$A11+0.000001)*('Thông tin lớp học'!$J$10:$J$49&gt;$A11+0.000001))=0,"",IF(SUMPRODUCT(('Hoạt động'!$A$5:$A$104=G$5)*('Hoạt động'!$B$5:$B$104&lt;=$A11+0.000001)*('Hoạt động'!$C$5:$C$104&gt;$A11+0.000001))+SUMPRODUCT(('Thông tin lớp học'!$H$10:$H$49=G$4)*('Thông tin lớp học'!$I$10:$I$49&lt;=$A11+0.000001)*('Thông tin lớp học'!$J$10:$J$49&gt;$A11+0.000001))&gt;1,"⚠ Trùng lịch",IF(SUMPRODUCT(('Hoạt động'!$A$5:$A$104=G$5)*('Hoạt động'!$B$5:$B$104&lt;=$A11+0.000001)*('Hoạt động'!$C$5:$C$104&gt;$A11+0.000001))=1,INDEX('Hoạt động'!$D$5:$D$104,SUMPRODUCT(('Hoạt động'!$A$5:$A$104=G$5)*('Hoạt động'!$B$5:$B$104&lt;=$A11+0.000001)*('Hoạt động'!$C$5:$C$104&gt;$A11+0.000001)*(ROW('Hoạt động'!$A$5:$A$104)-4))),INDEX('Thông tin lớp học'!$G$10:$G$49,SUMPRODUCT(('Thông tin lớp học'!$H$10:$H$49=G$4)*('Thông tin lớp học'!$I$10:$I$49&lt;=$A11+0.000001)*('Thông tin lớp học'!$J$10:$J$49&gt;$A11+0.000001)*(ROW('Thông tin lớp học'!$H$10:$H$49)-9))))))</f>
        <v/>
      </c>
      <c r="H11" s="123" t="str">
        <f t="array" ref="H11">IF(SUMPRODUCT(('Hoạt động'!$A$5:$A$104=H$5)*('Hoạt động'!$B$5:$B$104&lt;=$A11+0.000001)*('Hoạt động'!$C$5:$C$104&gt;$A11+0.000001))+SUMPRODUCT(('Thông tin lớp học'!$H$10:$H$49=H$4)*('Thông tin lớp học'!$I$10:$I$49&lt;=$A11+0.000001)*('Thông tin lớp học'!$J$10:$J$49&gt;$A11+0.000001))=0,"",IF(SUMPRODUCT(('Hoạt động'!$A$5:$A$104=H$5)*('Hoạt động'!$B$5:$B$104&lt;=$A11+0.000001)*('Hoạt động'!$C$5:$C$104&gt;$A11+0.000001))+SUMPRODUCT(('Thông tin lớp học'!$H$10:$H$49=H$4)*('Thông tin lớp học'!$I$10:$I$49&lt;=$A11+0.000001)*('Thông tin lớp học'!$J$10:$J$49&gt;$A11+0.000001))&gt;1,"⚠ Trùng lịch",IF(SUMPRODUCT(('Hoạt động'!$A$5:$A$104=H$5)*('Hoạt động'!$B$5:$B$104&lt;=$A11+0.000001)*('Hoạt động'!$C$5:$C$104&gt;$A11+0.000001))=1,INDEX('Hoạt động'!$D$5:$D$104,SUMPRODUCT(('Hoạt động'!$A$5:$A$104=H$5)*('Hoạt động'!$B$5:$B$104&lt;=$A11+0.000001)*('Hoạt động'!$C$5:$C$104&gt;$A11+0.000001)*(ROW('Hoạt động'!$A$5:$A$104)-4))),INDEX('Thông tin lớp học'!$G$10:$G$49,SUMPRODUCT(('Thông tin lớp học'!$H$10:$H$49=H$4)*('Thông tin lớp học'!$I$10:$I$49&lt;=$A11+0.000001)*('Thông tin lớp học'!$J$10:$J$49&gt;$A11+0.000001)*(ROW('Thông tin lớp học'!$H$10:$H$49)-9))))))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6">
        <v>0.375</v>
      </c>
      <c r="B12" s="123" t="str">
        <f t="array" ref="B12">IF(SUMPRODUCT(('Hoạt động'!$A$5:$A$104=B$5)*('Hoạt động'!$B$5:$B$104&lt;=$A12+0.000001)*('Hoạt động'!$C$5:$C$104&gt;$A12+0.000001))+SUMPRODUCT(('Thông tin lớp học'!$H$10:$H$49=B$4)*('Thông tin lớp học'!$I$10:$I$49&lt;=$A12+0.000001)*('Thông tin lớp học'!$J$10:$J$49&gt;$A12+0.000001))=0,"",IF(SUMPRODUCT(('Hoạt động'!$A$5:$A$104=B$5)*('Hoạt động'!$B$5:$B$104&lt;=$A12+0.000001)*('Hoạt động'!$C$5:$C$104&gt;$A12+0.000001))+SUMPRODUCT(('Thông tin lớp học'!$H$10:$H$49=B$4)*('Thông tin lớp học'!$I$10:$I$49&lt;=$A12+0.000001)*('Thông tin lớp học'!$J$10:$J$49&gt;$A12+0.000001))&gt;1,"⚠ Trùng lịch",IF(SUMPRODUCT(('Hoạt động'!$A$5:$A$104=B$5)*('Hoạt động'!$B$5:$B$104&lt;=$A12+0.000001)*('Hoạt động'!$C$5:$C$104&gt;$A12+0.000001))=1,INDEX('Hoạt động'!$D$5:$D$104,SUMPRODUCT(('Hoạt động'!$A$5:$A$104=B$5)*('Hoạt động'!$B$5:$B$104&lt;=$A12+0.000001)*('Hoạt động'!$C$5:$C$104&gt;$A12+0.000001)*(ROW('Hoạt động'!$A$5:$A$104)-4))),INDEX('Thông tin lớp học'!$G$10:$G$49,SUMPRODUCT(('Thông tin lớp học'!$H$10:$H$49=B$4)*('Thông tin lớp học'!$I$10:$I$49&lt;=$A12+0.000001)*('Thông tin lớp học'!$J$10:$J$49&gt;$A12+0.000001)*(ROW('Thông tin lớp học'!$H$10:$H$49)-9))))))</f>
        <v>Toán cao cấp</v>
      </c>
      <c r="C12" s="123" t="str">
        <f t="array" ref="C12">IF(SUMPRODUCT(('Hoạt động'!$A$5:$A$104=C$5)*('Hoạt động'!$B$5:$B$104&lt;=$A12+0.000001)*('Hoạt động'!$C$5:$C$104&gt;$A12+0.000001))+SUMPRODUCT(('Thông tin lớp học'!$H$10:$H$49=C$4)*('Thông tin lớp học'!$I$10:$I$49&lt;=$A12+0.000001)*('Thông tin lớp học'!$J$10:$J$49&gt;$A12+0.000001))=0,"",IF(SUMPRODUCT(('Hoạt động'!$A$5:$A$104=C$5)*('Hoạt động'!$B$5:$B$104&lt;=$A12+0.000001)*('Hoạt động'!$C$5:$C$104&gt;$A12+0.000001))+SUMPRODUCT(('Thông tin lớp học'!$H$10:$H$49=C$4)*('Thông tin lớp học'!$I$10:$I$49&lt;=$A12+0.000001)*('Thông tin lớp học'!$J$10:$J$49&gt;$A12+0.000001))&gt;1,"⚠ Trùng lịch",IF(SUMPRODUCT(('Hoạt động'!$A$5:$A$104=C$5)*('Hoạt động'!$B$5:$B$104&lt;=$A12+0.000001)*('Hoạt động'!$C$5:$C$104&gt;$A12+0.000001))=1,INDEX('Hoạt động'!$D$5:$D$104,SUMPRODUCT(('Hoạt động'!$A$5:$A$104=C$5)*('Hoạt động'!$B$5:$B$104&lt;=$A12+0.000001)*('Hoạt động'!$C$5:$C$104&gt;$A12+0.000001)*(ROW('Hoạt động'!$A$5:$A$104)-4))),INDEX('Thông tin lớp học'!$G$10:$G$49,SUMPRODUCT(('Thông tin lớp học'!$H$10:$H$49=C$4)*('Thông tin lớp học'!$I$10:$I$49&lt;=$A12+0.000001)*('Thông tin lớp học'!$J$10:$J$49&gt;$A12+0.000001)*(ROW('Thông tin lớp học'!$H$10:$H$49)-9))))))</f>
        <v>Lập trình C++</v>
      </c>
      <c r="D12" s="123" t="str">
        <f t="array" ref="D12">IF(SUMPRODUCT(('Hoạt động'!$A$5:$A$104=D$5)*('Hoạt động'!$B$5:$B$104&lt;=$A12+0.000001)*('Hoạt động'!$C$5:$C$104&gt;$A12+0.000001))+SUMPRODUCT(('Thông tin lớp học'!$H$10:$H$49=D$4)*('Thông tin lớp học'!$I$10:$I$49&lt;=$A12+0.000001)*('Thông tin lớp học'!$J$10:$J$49&gt;$A12+0.000001))=0,"",IF(SUMPRODUCT(('Hoạt động'!$A$5:$A$104=D$5)*('Hoạt động'!$B$5:$B$104&lt;=$A12+0.000001)*('Hoạt động'!$C$5:$C$104&gt;$A12+0.000001))+SUMPRODUCT(('Thông tin lớp học'!$H$10:$H$49=D$4)*('Thông tin lớp học'!$I$10:$I$49&lt;=$A12+0.000001)*('Thông tin lớp học'!$J$10:$J$49&gt;$A12+0.000001))&gt;1,"⚠ Trùng lịch",IF(SUMPRODUCT(('Hoạt động'!$A$5:$A$104=D$5)*('Hoạt động'!$B$5:$B$104&lt;=$A12+0.000001)*('Hoạt động'!$C$5:$C$104&gt;$A12+0.000001))=1,INDEX('Hoạt động'!$D$5:$D$104,SUMPRODUCT(('Hoạt động'!$A$5:$A$104=D$5)*('Hoạt động'!$B$5:$B$104&lt;=$A12+0.000001)*('Hoạt động'!$C$5:$C$104&gt;$A12+0.000001)*(ROW('Hoạt động'!$A$5:$A$104)-4))),INDEX('Thông tin lớp học'!$G$10:$G$49,SUMPRODUCT(('Thông tin lớp học'!$H$10:$H$49=D$4)*('Thông tin lớp học'!$I$10:$I$49&lt;=$A12+0.000001)*('Thông tin lớp học'!$J$10:$J$49&gt;$A12+0.000001)*(ROW('Thông tin lớp học'!$H$10:$H$49)-9))))))</f>
        <v>Tiếng Anh giao tiếp</v>
      </c>
      <c r="E12" s="123" t="str">
        <f t="array" ref="E12">IF(SUMPRODUCT(('Hoạt động'!$A$5:$A$104=E$5)*('Hoạt động'!$B$5:$B$104&lt;=$A12+0.000001)*('Hoạt động'!$C$5:$C$104&gt;$A12+0.000001))+SUMPRODUCT(('Thông tin lớp học'!$H$10:$H$49=E$4)*('Thông tin lớp học'!$I$10:$I$49&lt;=$A12+0.000001)*('Thông tin lớp học'!$J$10:$J$49&gt;$A12+0.000001))=0,"",IF(SUMPRODUCT(('Hoạt động'!$A$5:$A$104=E$5)*('Hoạt động'!$B$5:$B$104&lt;=$A12+0.000001)*('Hoạt động'!$C$5:$C$104&gt;$A12+0.000001))+SUMPRODUCT(('Thông tin lớp học'!$H$10:$H$49=E$4)*('Thông tin lớp học'!$I$10:$I$49&lt;=$A12+0.000001)*('Thông tin lớp học'!$J$10:$J$49&gt;$A12+0.000001))&gt;1,"⚠ Trùng lịch",IF(SUMPRODUCT(('Hoạt động'!$A$5:$A$104=E$5)*('Hoạt động'!$B$5:$B$104&lt;=$A12+0.000001)*('Hoạt động'!$C$5:$C$104&gt;$A12+0.000001))=1,INDEX('Hoạt động'!$D$5:$D$104,SUMPRODUCT(('Hoạt động'!$A$5:$A$104=E$5)*('Hoạt động'!$B$5:$B$104&lt;=$A12+0.000001)*('Hoạt động'!$C$5:$C$104&gt;$A12+0.000001)*(ROW('Hoạt động'!$A$5:$A$104)-4))),INDEX('Thông tin lớp học'!$G$10:$G$49,SUMPRODUCT(('Thông tin lớp học'!$H$10:$H$49=E$4)*('Thông tin lớp học'!$I$10:$I$49&lt;=$A12+0.000001)*('Thông tin lớp học'!$J$10:$J$49&gt;$A12+0.000001)*(ROW('Thông tin lớp học'!$H$10:$H$49)-9))))))</f>
        <v>Toán cao cấp</v>
      </c>
      <c r="F12" s="123" t="str">
        <f t="array" ref="F12">IF(SUMPRODUCT(('Hoạt động'!$A$5:$A$104=F$5)*('Hoạt động'!$B$5:$B$104&lt;=$A12+0.000001)*('Hoạt động'!$C$5:$C$104&gt;$A12+0.000001))+SUMPRODUCT(('Thông tin lớp học'!$H$10:$H$49=F$4)*('Thông tin lớp học'!$I$10:$I$49&lt;=$A12+0.000001)*('Thông tin lớp học'!$J$10:$J$49&gt;$A12+0.000001))=0,"",IF(SUMPRODUCT(('Hoạt động'!$A$5:$A$104=F$5)*('Hoạt động'!$B$5:$B$104&lt;=$A12+0.000001)*('Hoạt động'!$C$5:$C$104&gt;$A12+0.000001))+SUMPRODUCT(('Thông tin lớp học'!$H$10:$H$49=F$4)*('Thông tin lớp học'!$I$10:$I$49&lt;=$A12+0.000001)*('Thông tin lớp học'!$J$10:$J$49&gt;$A12+0.000001))&gt;1,"⚠ Trùng lịch",IF(SUMPRODUCT(('Hoạt động'!$A$5:$A$104=F$5)*('Hoạt động'!$B$5:$B$104&lt;=$A12+0.000001)*('Hoạt động'!$C$5:$C$104&gt;$A12+0.000001))=1,INDEX('Hoạt động'!$D$5:$D$104,SUMPRODUCT(('Hoạt động'!$A$5:$A$104=F$5)*('Hoạt động'!$B$5:$B$104&lt;=$A12+0.000001)*('Hoạt động'!$C$5:$C$104&gt;$A12+0.000001)*(ROW('Hoạt động'!$A$5:$A$104)-4))),INDEX('Thông tin lớp học'!$G$10:$G$49,SUMPRODUCT(('Thông tin lớp học'!$H$10:$H$49=F$4)*('Thông tin lớp học'!$I$10:$I$49&lt;=$A12+0.000001)*('Thông tin lớp học'!$J$10:$J$49&gt;$A12+0.000001)*(ROW('Thông tin lớp học'!$H$10:$H$49)-9))))))</f>
        <v>Lập trình C++</v>
      </c>
      <c r="G12" s="123" t="str">
        <f t="array" ref="G12">IF(SUMPRODUCT(('Hoạt động'!$A$5:$A$104=G$5)*('Hoạt động'!$B$5:$B$104&lt;=$A12+0.000001)*('Hoạt động'!$C$5:$C$104&gt;$A12+0.000001))+SUMPRODUCT(('Thông tin lớp học'!$H$10:$H$49=G$4)*('Thông tin lớp học'!$I$10:$I$49&lt;=$A12+0.000001)*('Thông tin lớp học'!$J$10:$J$49&gt;$A12+0.000001))=0,"",IF(SUMPRODUCT(('Hoạt động'!$A$5:$A$104=G$5)*('Hoạt động'!$B$5:$B$104&lt;=$A12+0.000001)*('Hoạt động'!$C$5:$C$104&gt;$A12+0.000001))+SUMPRODUCT(('Thông tin lớp học'!$H$10:$H$49=G$4)*('Thông tin lớp học'!$I$10:$I$49&lt;=$A12+0.000001)*('Thông tin lớp học'!$J$10:$J$49&gt;$A12+0.000001))&gt;1,"⚠ Trùng lịch",IF(SUMPRODUCT(('Hoạt động'!$A$5:$A$104=G$5)*('Hoạt động'!$B$5:$B$104&lt;=$A12+0.000001)*('Hoạt động'!$C$5:$C$104&gt;$A12+0.000001))=1,INDEX('Hoạt động'!$D$5:$D$104,SUMPRODUCT(('Hoạt động'!$A$5:$A$104=G$5)*('Hoạt động'!$B$5:$B$104&lt;=$A12+0.000001)*('Hoạt động'!$C$5:$C$104&gt;$A12+0.000001)*(ROW('Hoạt động'!$A$5:$A$104)-4))),INDEX('Thông tin lớp học'!$G$10:$G$49,SUMPRODUCT(('Thông tin lớp học'!$H$10:$H$49=G$4)*('Thông tin lớp học'!$I$10:$I$49&lt;=$A12+0.000001)*('Thông tin lớp học'!$J$10:$J$49&gt;$A12+0.000001)*(ROW('Thông tin lớp học'!$H$10:$H$49)-9))))))</f>
        <v/>
      </c>
      <c r="H12" s="123" t="str">
        <f t="array" ref="H12">IF(SUMPRODUCT(('Hoạt động'!$A$5:$A$104=H$5)*('Hoạt động'!$B$5:$B$104&lt;=$A12+0.000001)*('Hoạt động'!$C$5:$C$104&gt;$A12+0.000001))+SUMPRODUCT(('Thông tin lớp học'!$H$10:$H$49=H$4)*('Thông tin lớp học'!$I$10:$I$49&lt;=$A12+0.000001)*('Thông tin lớp học'!$J$10:$J$49&gt;$A12+0.000001))=0,"",IF(SUMPRODUCT(('Hoạt động'!$A$5:$A$104=H$5)*('Hoạt động'!$B$5:$B$104&lt;=$A12+0.000001)*('Hoạt động'!$C$5:$C$104&gt;$A12+0.000001))+SUMPRODUCT(('Thông tin lớp học'!$H$10:$H$49=H$4)*('Thông tin lớp học'!$I$10:$I$49&lt;=$A12+0.000001)*('Thông tin lớp học'!$J$10:$J$49&gt;$A12+0.000001))&gt;1,"⚠ Trùng lịch",IF(SUMPRODUCT(('Hoạt động'!$A$5:$A$104=H$5)*('Hoạt động'!$B$5:$B$104&lt;=$A12+0.000001)*('Hoạt động'!$C$5:$C$104&gt;$A12+0.000001))=1,INDEX('Hoạt động'!$D$5:$D$104,SUMPRODUCT(('Hoạt động'!$A$5:$A$104=H$5)*('Hoạt động'!$B$5:$B$104&lt;=$A12+0.000001)*('Hoạt động'!$C$5:$C$104&gt;$A12+0.000001)*(ROW('Hoạt động'!$A$5:$A$104)-4))),INDEX('Thông tin lớp học'!$G$10:$G$49,SUMPRODUCT(('Thông tin lớp học'!$H$10:$H$49=H$4)*('Thông tin lớp học'!$I$10:$I$49&lt;=$A12+0.000001)*('Thông tin lớp học'!$J$10:$J$49&gt;$A12+0.000001)*(ROW('Thông tin lớp học'!$H$10:$H$49)-9))))))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6">
        <v>0.395833333333333</v>
      </c>
      <c r="B13" s="123" t="str">
        <f t="array" ref="B13">IF(SUMPRODUCT(('Hoạt động'!$A$5:$A$104=B$5)*('Hoạt động'!$B$5:$B$104&lt;=$A13+0.000001)*('Hoạt động'!$C$5:$C$104&gt;$A13+0.000001))+SUMPRODUCT(('Thông tin lớp học'!$H$10:$H$49=B$4)*('Thông tin lớp học'!$I$10:$I$49&lt;=$A13+0.000001)*('Thông tin lớp học'!$J$10:$J$49&gt;$A13+0.000001))=0,"",IF(SUMPRODUCT(('Hoạt động'!$A$5:$A$104=B$5)*('Hoạt động'!$B$5:$B$104&lt;=$A13+0.000001)*('Hoạt động'!$C$5:$C$104&gt;$A13+0.000001))+SUMPRODUCT(('Thông tin lớp học'!$H$10:$H$49=B$4)*('Thông tin lớp học'!$I$10:$I$49&lt;=$A13+0.000001)*('Thông tin lớp học'!$J$10:$J$49&gt;$A13+0.000001))&gt;1,"⚠ Trùng lịch",IF(SUMPRODUCT(('Hoạt động'!$A$5:$A$104=B$5)*('Hoạt động'!$B$5:$B$104&lt;=$A13+0.000001)*('Hoạt động'!$C$5:$C$104&gt;$A13+0.000001))=1,INDEX('Hoạt động'!$D$5:$D$104,SUMPRODUCT(('Hoạt động'!$A$5:$A$104=B$5)*('Hoạt động'!$B$5:$B$104&lt;=$A13+0.000001)*('Hoạt động'!$C$5:$C$104&gt;$A13+0.000001)*(ROW('Hoạt động'!$A$5:$A$104)-4))),INDEX('Thông tin lớp học'!$G$10:$G$49,SUMPRODUCT(('Thông tin lớp học'!$H$10:$H$49=B$4)*('Thông tin lớp học'!$I$10:$I$49&lt;=$A13+0.000001)*('Thông tin lớp học'!$J$10:$J$49&gt;$A13+0.000001)*(ROW('Thông tin lớp học'!$H$10:$H$49)-9))))))</f>
        <v/>
      </c>
      <c r="C13" s="123" t="str">
        <f t="array" ref="C13">IF(SUMPRODUCT(('Hoạt động'!$A$5:$A$104=C$5)*('Hoạt động'!$B$5:$B$104&lt;=$A13+0.000001)*('Hoạt động'!$C$5:$C$104&gt;$A13+0.000001))+SUMPRODUCT(('Thông tin lớp học'!$H$10:$H$49=C$4)*('Thông tin lớp học'!$I$10:$I$49&lt;=$A13+0.000001)*('Thông tin lớp học'!$J$10:$J$49&gt;$A13+0.000001))=0,"",IF(SUMPRODUCT(('Hoạt động'!$A$5:$A$104=C$5)*('Hoạt động'!$B$5:$B$104&lt;=$A13+0.000001)*('Hoạt động'!$C$5:$C$104&gt;$A13+0.000001))+SUMPRODUCT(('Thông tin lớp học'!$H$10:$H$49=C$4)*('Thông tin lớp học'!$I$10:$I$49&lt;=$A13+0.000001)*('Thông tin lớp học'!$J$10:$J$49&gt;$A13+0.000001))&gt;1,"⚠ Trùng lịch",IF(SUMPRODUCT(('Hoạt động'!$A$5:$A$104=C$5)*('Hoạt động'!$B$5:$B$104&lt;=$A13+0.000001)*('Hoạt động'!$C$5:$C$104&gt;$A13+0.000001))=1,INDEX('Hoạt động'!$D$5:$D$104,SUMPRODUCT(('Hoạt động'!$A$5:$A$104=C$5)*('Hoạt động'!$B$5:$B$104&lt;=$A13+0.000001)*('Hoạt động'!$C$5:$C$104&gt;$A13+0.000001)*(ROW('Hoạt động'!$A$5:$A$104)-4))),INDEX('Thông tin lớp học'!$G$10:$G$49,SUMPRODUCT(('Thông tin lớp học'!$H$10:$H$49=C$4)*('Thông tin lớp học'!$I$10:$I$49&lt;=$A13+0.000001)*('Thông tin lớp học'!$J$10:$J$49&gt;$A13+0.000001)*(ROW('Thông tin lớp học'!$H$10:$H$49)-9))))))</f>
        <v>Lập trình C++</v>
      </c>
      <c r="D13" s="123" t="str">
        <f t="array" ref="D13">IF(SUMPRODUCT(('Hoạt động'!$A$5:$A$104=D$5)*('Hoạt động'!$B$5:$B$104&lt;=$A13+0.000001)*('Hoạt động'!$C$5:$C$104&gt;$A13+0.000001))+SUMPRODUCT(('Thông tin lớp học'!$H$10:$H$49=D$4)*('Thông tin lớp học'!$I$10:$I$49&lt;=$A13+0.000001)*('Thông tin lớp học'!$J$10:$J$49&gt;$A13+0.000001))=0,"",IF(SUMPRODUCT(('Hoạt động'!$A$5:$A$104=D$5)*('Hoạt động'!$B$5:$B$104&lt;=$A13+0.000001)*('Hoạt động'!$C$5:$C$104&gt;$A13+0.000001))+SUMPRODUCT(('Thông tin lớp học'!$H$10:$H$49=D$4)*('Thông tin lớp học'!$I$10:$I$49&lt;=$A13+0.000001)*('Thông tin lớp học'!$J$10:$J$49&gt;$A13+0.000001))&gt;1,"⚠ Trùng lịch",IF(SUMPRODUCT(('Hoạt động'!$A$5:$A$104=D$5)*('Hoạt động'!$B$5:$B$104&lt;=$A13+0.000001)*('Hoạt động'!$C$5:$C$104&gt;$A13+0.000001))=1,INDEX('Hoạt động'!$D$5:$D$104,SUMPRODUCT(('Hoạt động'!$A$5:$A$104=D$5)*('Hoạt động'!$B$5:$B$104&lt;=$A13+0.000001)*('Hoạt động'!$C$5:$C$104&gt;$A13+0.000001)*(ROW('Hoạt động'!$A$5:$A$104)-4))),INDEX('Thông tin lớp học'!$G$10:$G$49,SUMPRODUCT(('Thông tin lớp học'!$H$10:$H$49=D$4)*('Thông tin lớp học'!$I$10:$I$49&lt;=$A13+0.000001)*('Thông tin lớp học'!$J$10:$J$49&gt;$A13+0.000001)*(ROW('Thông tin lớp học'!$H$10:$H$49)-9))))))</f>
        <v>⚠ Trùng lịch</v>
      </c>
      <c r="E13" s="123" t="str">
        <f t="array" ref="E13">IF(SUMPRODUCT(('Hoạt động'!$A$5:$A$104=E$5)*('Hoạt động'!$B$5:$B$104&lt;=$A13+0.000001)*('Hoạt động'!$C$5:$C$104&gt;$A13+0.000001))+SUMPRODUCT(('Thông tin lớp học'!$H$10:$H$49=E$4)*('Thông tin lớp học'!$I$10:$I$49&lt;=$A13+0.000001)*('Thông tin lớp học'!$J$10:$J$49&gt;$A13+0.000001))=0,"",IF(SUMPRODUCT(('Hoạt động'!$A$5:$A$104=E$5)*('Hoạt động'!$B$5:$B$104&lt;=$A13+0.000001)*('Hoạt động'!$C$5:$C$104&gt;$A13+0.000001))+SUMPRODUCT(('Thông tin lớp học'!$H$10:$H$49=E$4)*('Thông tin lớp học'!$I$10:$I$49&lt;=$A13+0.000001)*('Thông tin lớp học'!$J$10:$J$49&gt;$A13+0.000001))&gt;1,"⚠ Trùng lịch",IF(SUMPRODUCT(('Hoạt động'!$A$5:$A$104=E$5)*('Hoạt động'!$B$5:$B$104&lt;=$A13+0.000001)*('Hoạt động'!$C$5:$C$104&gt;$A13+0.000001))=1,INDEX('Hoạt động'!$D$5:$D$104,SUMPRODUCT(('Hoạt động'!$A$5:$A$104=E$5)*('Hoạt động'!$B$5:$B$104&lt;=$A13+0.000001)*('Hoạt động'!$C$5:$C$104&gt;$A13+0.000001)*(ROW('Hoạt động'!$A$5:$A$104)-4))),INDEX('Thông tin lớp học'!$G$10:$G$49,SUMPRODUCT(('Thông tin lớp học'!$H$10:$H$49=E$4)*('Thông tin lớp học'!$I$10:$I$49&lt;=$A13+0.000001)*('Thông tin lớp học'!$J$10:$J$49&gt;$A13+0.000001)*(ROW('Thông tin lớp học'!$H$10:$H$49)-9))))))</f>
        <v>Toán cao cấp</v>
      </c>
      <c r="F13" s="123" t="str">
        <f t="array" ref="F13">IF(SUMPRODUCT(('Hoạt động'!$A$5:$A$104=F$5)*('Hoạt động'!$B$5:$B$104&lt;=$A13+0.000001)*('Hoạt động'!$C$5:$C$104&gt;$A13+0.000001))+SUMPRODUCT(('Thông tin lớp học'!$H$10:$H$49=F$4)*('Thông tin lớp học'!$I$10:$I$49&lt;=$A13+0.000001)*('Thông tin lớp học'!$J$10:$J$49&gt;$A13+0.000001))=0,"",IF(SUMPRODUCT(('Hoạt động'!$A$5:$A$104=F$5)*('Hoạt động'!$B$5:$B$104&lt;=$A13+0.000001)*('Hoạt động'!$C$5:$C$104&gt;$A13+0.000001))+SUMPRODUCT(('Thông tin lớp học'!$H$10:$H$49=F$4)*('Thông tin lớp học'!$I$10:$I$49&lt;=$A13+0.000001)*('Thông tin lớp học'!$J$10:$J$49&gt;$A13+0.000001))&gt;1,"⚠ Trùng lịch",IF(SUMPRODUCT(('Hoạt động'!$A$5:$A$104=F$5)*('Hoạt động'!$B$5:$B$104&lt;=$A13+0.000001)*('Hoạt động'!$C$5:$C$104&gt;$A13+0.000001))=1,INDEX('Hoạt động'!$D$5:$D$104,SUMPRODUCT(('Hoạt động'!$A$5:$A$104=F$5)*('Hoạt động'!$B$5:$B$104&lt;=$A13+0.000001)*('Hoạt động'!$C$5:$C$104&gt;$A13+0.000001)*(ROW('Hoạt động'!$A$5:$A$104)-4))),INDEX('Thông tin lớp học'!$G$10:$G$49,SUMPRODUCT(('Thông tin lớp học'!$H$10:$H$49=F$4)*('Thông tin lớp học'!$I$10:$I$49&lt;=$A13+0.000001)*('Thông tin lớp học'!$J$10:$J$49&gt;$A13+0.000001)*(ROW('Thông tin lớp học'!$H$10:$H$49)-9))))))</f>
        <v>Lập trình C++</v>
      </c>
      <c r="G13" s="123" t="str">
        <f t="array" ref="G13">IF(SUMPRODUCT(('Hoạt động'!$A$5:$A$104=G$5)*('Hoạt động'!$B$5:$B$104&lt;=$A13+0.000001)*('Hoạt động'!$C$5:$C$104&gt;$A13+0.000001))+SUMPRODUCT(('Thông tin lớp học'!$H$10:$H$49=G$4)*('Thông tin lớp học'!$I$10:$I$49&lt;=$A13+0.000001)*('Thông tin lớp học'!$J$10:$J$49&gt;$A13+0.000001))=0,"",IF(SUMPRODUCT(('Hoạt động'!$A$5:$A$104=G$5)*('Hoạt động'!$B$5:$B$104&lt;=$A13+0.000001)*('Hoạt động'!$C$5:$C$104&gt;$A13+0.000001))+SUMPRODUCT(('Thông tin lớp học'!$H$10:$H$49=G$4)*('Thông tin lớp học'!$I$10:$I$49&lt;=$A13+0.000001)*('Thông tin lớp học'!$J$10:$J$49&gt;$A13+0.000001))&gt;1,"⚠ Trùng lịch",IF(SUMPRODUCT(('Hoạt động'!$A$5:$A$104=G$5)*('Hoạt động'!$B$5:$B$104&lt;=$A13+0.000001)*('Hoạt động'!$C$5:$C$104&gt;$A13+0.000001))=1,INDEX('Hoạt động'!$D$5:$D$104,SUMPRODUCT(('Hoạt động'!$A$5:$A$104=G$5)*('Hoạt động'!$B$5:$B$104&lt;=$A13+0.000001)*('Hoạt động'!$C$5:$C$104&gt;$A13+0.000001)*(ROW('Hoạt động'!$A$5:$A$104)-4))),INDEX('Thông tin lớp học'!$G$10:$G$49,SUMPRODUCT(('Thông tin lớp học'!$H$10:$H$49=G$4)*('Thông tin lớp học'!$I$10:$I$49&lt;=$A13+0.000001)*('Thông tin lớp học'!$J$10:$J$49&gt;$A13+0.000001)*(ROW('Thông tin lớp học'!$H$10:$H$49)-9))))))</f>
        <v/>
      </c>
      <c r="H13" s="123" t="str">
        <f t="array" ref="H13">IF(SUMPRODUCT(('Hoạt động'!$A$5:$A$104=H$5)*('Hoạt động'!$B$5:$B$104&lt;=$A13+0.000001)*('Hoạt động'!$C$5:$C$104&gt;$A13+0.000001))+SUMPRODUCT(('Thông tin lớp học'!$H$10:$H$49=H$4)*('Thông tin lớp học'!$I$10:$I$49&lt;=$A13+0.000001)*('Thông tin lớp học'!$J$10:$J$49&gt;$A13+0.000001))=0,"",IF(SUMPRODUCT(('Hoạt động'!$A$5:$A$104=H$5)*('Hoạt động'!$B$5:$B$104&lt;=$A13+0.000001)*('Hoạt động'!$C$5:$C$104&gt;$A13+0.000001))+SUMPRODUCT(('Thông tin lớp học'!$H$10:$H$49=H$4)*('Thông tin lớp học'!$I$10:$I$49&lt;=$A13+0.000001)*('Thông tin lớp học'!$J$10:$J$49&gt;$A13+0.000001))&gt;1,"⚠ Trùng lịch",IF(SUMPRODUCT(('Hoạt động'!$A$5:$A$104=H$5)*('Hoạt động'!$B$5:$B$104&lt;=$A13+0.000001)*('Hoạt động'!$C$5:$C$104&gt;$A13+0.000001))=1,INDEX('Hoạt động'!$D$5:$D$104,SUMPRODUCT(('Hoạt động'!$A$5:$A$104=H$5)*('Hoạt động'!$B$5:$B$104&lt;=$A13+0.000001)*('Hoạt động'!$C$5:$C$104&gt;$A13+0.000001)*(ROW('Hoạt động'!$A$5:$A$104)-4))),INDEX('Thông tin lớp học'!$G$10:$G$49,SUMPRODUCT(('Thông tin lớp học'!$H$10:$H$49=H$4)*('Thông tin lớp học'!$I$10:$I$49&lt;=$A13+0.000001)*('Thông tin lớp học'!$J$10:$J$49&gt;$A13+0.000001)*(ROW('Thông tin lớp học'!$H$10:$H$49)-9))))))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6">
        <v>0.416666666666667</v>
      </c>
      <c r="B14" s="123" t="str">
        <f t="array" ref="B14">IF(SUMPRODUCT(('Hoạt động'!$A$5:$A$104=B$5)*('Hoạt động'!$B$5:$B$104&lt;=$A14+0.000001)*('Hoạt động'!$C$5:$C$104&gt;$A14+0.000001))+SUMPRODUCT(('Thông tin lớp học'!$H$10:$H$49=B$4)*('Thông tin lớp học'!$I$10:$I$49&lt;=$A14+0.000001)*('Thông tin lớp học'!$J$10:$J$49&gt;$A14+0.000001))=0,"",IF(SUMPRODUCT(('Hoạt động'!$A$5:$A$104=B$5)*('Hoạt động'!$B$5:$B$104&lt;=$A14+0.000001)*('Hoạt động'!$C$5:$C$104&gt;$A14+0.000001))+SUMPRODUCT(('Thông tin lớp học'!$H$10:$H$49=B$4)*('Thông tin lớp học'!$I$10:$I$49&lt;=$A14+0.000001)*('Thông tin lớp học'!$J$10:$J$49&gt;$A14+0.000001))&gt;1,"⚠ Trùng lịch",IF(SUMPRODUCT(('Hoạt động'!$A$5:$A$104=B$5)*('Hoạt động'!$B$5:$B$104&lt;=$A14+0.000001)*('Hoạt động'!$C$5:$C$104&gt;$A14+0.000001))=1,INDEX('Hoạt động'!$D$5:$D$104,SUMPRODUCT(('Hoạt động'!$A$5:$A$104=B$5)*('Hoạt động'!$B$5:$B$104&lt;=$A14+0.000001)*('Hoạt động'!$C$5:$C$104&gt;$A14+0.000001)*(ROW('Hoạt động'!$A$5:$A$104)-4))),INDEX('Thông tin lớp học'!$G$10:$G$49,SUMPRODUCT(('Thông tin lớp học'!$H$10:$H$49=B$4)*('Thông tin lớp học'!$I$10:$I$49&lt;=$A14+0.000001)*('Thông tin lớp học'!$J$10:$J$49&gt;$A14+0.000001)*(ROW('Thông tin lớp học'!$H$10:$H$49)-9))))))</f>
        <v/>
      </c>
      <c r="C14" s="123" t="str">
        <f t="array" ref="C14">IF(SUMPRODUCT(('Hoạt động'!$A$5:$A$104=C$5)*('Hoạt động'!$B$5:$B$104&lt;=$A14+0.000001)*('Hoạt động'!$C$5:$C$104&gt;$A14+0.000001))+SUMPRODUCT(('Thông tin lớp học'!$H$10:$H$49=C$4)*('Thông tin lớp học'!$I$10:$I$49&lt;=$A14+0.000001)*('Thông tin lớp học'!$J$10:$J$49&gt;$A14+0.000001))=0,"",IF(SUMPRODUCT(('Hoạt động'!$A$5:$A$104=C$5)*('Hoạt động'!$B$5:$B$104&lt;=$A14+0.000001)*('Hoạt động'!$C$5:$C$104&gt;$A14+0.000001))+SUMPRODUCT(('Thông tin lớp học'!$H$10:$H$49=C$4)*('Thông tin lớp học'!$I$10:$I$49&lt;=$A14+0.000001)*('Thông tin lớp học'!$J$10:$J$49&gt;$A14+0.000001))&gt;1,"⚠ Trùng lịch",IF(SUMPRODUCT(('Hoạt động'!$A$5:$A$104=C$5)*('Hoạt động'!$B$5:$B$104&lt;=$A14+0.000001)*('Hoạt động'!$C$5:$C$104&gt;$A14+0.000001))=1,INDEX('Hoạt động'!$D$5:$D$104,SUMPRODUCT(('Hoạt động'!$A$5:$A$104=C$5)*('Hoạt động'!$B$5:$B$104&lt;=$A14+0.000001)*('Hoạt động'!$C$5:$C$104&gt;$A14+0.000001)*(ROW('Hoạt động'!$A$5:$A$104)-4))),INDEX('Thông tin lớp học'!$G$10:$G$49,SUMPRODUCT(('Thông tin lớp học'!$H$10:$H$49=C$4)*('Thông tin lớp học'!$I$10:$I$49&lt;=$A14+0.000001)*('Thông tin lớp học'!$J$10:$J$49&gt;$A14+0.000001)*(ROW('Thông tin lớp học'!$H$10:$H$49)-9))))))</f>
        <v>Lập trình C++</v>
      </c>
      <c r="D14" s="123" t="str">
        <f t="array" ref="D14">IF(SUMPRODUCT(('Hoạt động'!$A$5:$A$104=D$5)*('Hoạt động'!$B$5:$B$104&lt;=$A14+0.000001)*('Hoạt động'!$C$5:$C$104&gt;$A14+0.000001))+SUMPRODUCT(('Thông tin lớp học'!$H$10:$H$49=D$4)*('Thông tin lớp học'!$I$10:$I$49&lt;=$A14+0.000001)*('Thông tin lớp học'!$J$10:$J$49&gt;$A14+0.000001))=0,"",IF(SUMPRODUCT(('Hoạt động'!$A$5:$A$104=D$5)*('Hoạt động'!$B$5:$B$104&lt;=$A14+0.000001)*('Hoạt động'!$C$5:$C$104&gt;$A14+0.000001))+SUMPRODUCT(('Thông tin lớp học'!$H$10:$H$49=D$4)*('Thông tin lớp học'!$I$10:$I$49&lt;=$A14+0.000001)*('Thông tin lớp học'!$J$10:$J$49&gt;$A14+0.000001))&gt;1,"⚠ Trùng lịch",IF(SUMPRODUCT(('Hoạt động'!$A$5:$A$104=D$5)*('Hoạt động'!$B$5:$B$104&lt;=$A14+0.000001)*('Hoạt động'!$C$5:$C$104&gt;$A14+0.000001))=1,INDEX('Hoạt động'!$D$5:$D$104,SUMPRODUCT(('Hoạt động'!$A$5:$A$104=D$5)*('Hoạt động'!$B$5:$B$104&lt;=$A14+0.000001)*('Hoạt động'!$C$5:$C$104&gt;$A14+0.000001)*(ROW('Hoạt động'!$A$5:$A$104)-4))),INDEX('Thông tin lớp học'!$G$10:$G$49,SUMPRODUCT(('Thông tin lớp học'!$H$10:$H$49=D$4)*('Thông tin lớp học'!$I$10:$I$49&lt;=$A14+0.000001)*('Thông tin lớp học'!$J$10:$J$49&gt;$A14+0.000001)*(ROW('Thông tin lớp học'!$H$10:$H$49)-9))))))</f>
        <v>⚠ Trùng lịch</v>
      </c>
      <c r="E14" s="123" t="str">
        <f t="array" ref="E14">IF(SUMPRODUCT(('Hoạt động'!$A$5:$A$104=E$5)*('Hoạt động'!$B$5:$B$104&lt;=$A14+0.000001)*('Hoạt động'!$C$5:$C$104&gt;$A14+0.000001))+SUMPRODUCT(('Thông tin lớp học'!$H$10:$H$49=E$4)*('Thông tin lớp học'!$I$10:$I$49&lt;=$A14+0.000001)*('Thông tin lớp học'!$J$10:$J$49&gt;$A14+0.000001))=0,"",IF(SUMPRODUCT(('Hoạt động'!$A$5:$A$104=E$5)*('Hoạt động'!$B$5:$B$104&lt;=$A14+0.000001)*('Hoạt động'!$C$5:$C$104&gt;$A14+0.000001))+SUMPRODUCT(('Thông tin lớp học'!$H$10:$H$49=E$4)*('Thông tin lớp học'!$I$10:$I$49&lt;=$A14+0.000001)*('Thông tin lớp học'!$J$10:$J$49&gt;$A14+0.000001))&gt;1,"⚠ Trùng lịch",IF(SUMPRODUCT(('Hoạt động'!$A$5:$A$104=E$5)*('Hoạt động'!$B$5:$B$104&lt;=$A14+0.000001)*('Hoạt động'!$C$5:$C$104&gt;$A14+0.000001))=1,INDEX('Hoạt động'!$D$5:$D$104,SUMPRODUCT(('Hoạt động'!$A$5:$A$104=E$5)*('Hoạt động'!$B$5:$B$104&lt;=$A14+0.000001)*('Hoạt động'!$C$5:$C$104&gt;$A14+0.000001)*(ROW('Hoạt động'!$A$5:$A$104)-4))),INDEX('Thông tin lớp học'!$G$10:$G$49,SUMPRODUCT(('Thông tin lớp học'!$H$10:$H$49=E$4)*('Thông tin lớp học'!$I$10:$I$49&lt;=$A14+0.000001)*('Thông tin lớp học'!$J$10:$J$49&gt;$A14+0.000001)*(ROW('Thông tin lớp học'!$H$10:$H$49)-9))))))</f>
        <v>Toán cao cấp</v>
      </c>
      <c r="F14" s="123" t="str">
        <f t="array" ref="F14">IF(SUMPRODUCT(('Hoạt động'!$A$5:$A$104=F$5)*('Hoạt động'!$B$5:$B$104&lt;=$A14+0.000001)*('Hoạt động'!$C$5:$C$104&gt;$A14+0.000001))+SUMPRODUCT(('Thông tin lớp học'!$H$10:$H$49=F$4)*('Thông tin lớp học'!$I$10:$I$49&lt;=$A14+0.000001)*('Thông tin lớp học'!$J$10:$J$49&gt;$A14+0.000001))=0,"",IF(SUMPRODUCT(('Hoạt động'!$A$5:$A$104=F$5)*('Hoạt động'!$B$5:$B$104&lt;=$A14+0.000001)*('Hoạt động'!$C$5:$C$104&gt;$A14+0.000001))+SUMPRODUCT(('Thông tin lớp học'!$H$10:$H$49=F$4)*('Thông tin lớp học'!$I$10:$I$49&lt;=$A14+0.000001)*('Thông tin lớp học'!$J$10:$J$49&gt;$A14+0.000001))&gt;1,"⚠ Trùng lịch",IF(SUMPRODUCT(('Hoạt động'!$A$5:$A$104=F$5)*('Hoạt động'!$B$5:$B$104&lt;=$A14+0.000001)*('Hoạt động'!$C$5:$C$104&gt;$A14+0.000001))=1,INDEX('Hoạt động'!$D$5:$D$104,SUMPRODUCT(('Hoạt động'!$A$5:$A$104=F$5)*('Hoạt động'!$B$5:$B$104&lt;=$A14+0.000001)*('Hoạt động'!$C$5:$C$104&gt;$A14+0.000001)*(ROW('Hoạt động'!$A$5:$A$104)-4))),INDEX('Thông tin lớp học'!$G$10:$G$49,SUMPRODUCT(('Thông tin lớp học'!$H$10:$H$49=F$4)*('Thông tin lớp học'!$I$10:$I$49&lt;=$A14+0.000001)*('Thông tin lớp học'!$J$10:$J$49&gt;$A14+0.000001)*(ROW('Thông tin lớp học'!$H$10:$H$49)-9))))))</f>
        <v/>
      </c>
      <c r="G14" s="123" t="str">
        <f t="array" ref="G14">IF(SUMPRODUCT(('Hoạt động'!$A$5:$A$104=G$5)*('Hoạt động'!$B$5:$B$104&lt;=$A14+0.000001)*('Hoạt động'!$C$5:$C$104&gt;$A14+0.000001))+SUMPRODUCT(('Thông tin lớp học'!$H$10:$H$49=G$4)*('Thông tin lớp học'!$I$10:$I$49&lt;=$A14+0.000001)*('Thông tin lớp học'!$J$10:$J$49&gt;$A14+0.000001))=0,"",IF(SUMPRODUCT(('Hoạt động'!$A$5:$A$104=G$5)*('Hoạt động'!$B$5:$B$104&lt;=$A14+0.000001)*('Hoạt động'!$C$5:$C$104&gt;$A14+0.000001))+SUMPRODUCT(('Thông tin lớp học'!$H$10:$H$49=G$4)*('Thông tin lớp học'!$I$10:$I$49&lt;=$A14+0.000001)*('Thông tin lớp học'!$J$10:$J$49&gt;$A14+0.000001))&gt;1,"⚠ Trùng lịch",IF(SUMPRODUCT(('Hoạt động'!$A$5:$A$104=G$5)*('Hoạt động'!$B$5:$B$104&lt;=$A14+0.000001)*('Hoạt động'!$C$5:$C$104&gt;$A14+0.000001))=1,INDEX('Hoạt động'!$D$5:$D$104,SUMPRODUCT(('Hoạt động'!$A$5:$A$104=G$5)*('Hoạt động'!$B$5:$B$104&lt;=$A14+0.000001)*('Hoạt động'!$C$5:$C$104&gt;$A14+0.000001)*(ROW('Hoạt động'!$A$5:$A$104)-4))),INDEX('Thông tin lớp học'!$G$10:$G$49,SUMPRODUCT(('Thông tin lớp học'!$H$10:$H$49=G$4)*('Thông tin lớp học'!$I$10:$I$49&lt;=$A14+0.000001)*('Thông tin lớp học'!$J$10:$J$49&gt;$A14+0.000001)*(ROW('Thông tin lớp học'!$H$10:$H$49)-9))))))</f>
        <v/>
      </c>
      <c r="H14" s="123" t="str">
        <f t="array" ref="H14">IF(SUMPRODUCT(('Hoạt động'!$A$5:$A$104=H$5)*('Hoạt động'!$B$5:$B$104&lt;=$A14+0.000001)*('Hoạt động'!$C$5:$C$104&gt;$A14+0.000001))+SUMPRODUCT(('Thông tin lớp học'!$H$10:$H$49=H$4)*('Thông tin lớp học'!$I$10:$I$49&lt;=$A14+0.000001)*('Thông tin lớp học'!$J$10:$J$49&gt;$A14+0.000001))=0,"",IF(SUMPRODUCT(('Hoạt động'!$A$5:$A$104=H$5)*('Hoạt động'!$B$5:$B$104&lt;=$A14+0.000001)*('Hoạt động'!$C$5:$C$104&gt;$A14+0.000001))+SUMPRODUCT(('Thông tin lớp học'!$H$10:$H$49=H$4)*('Thông tin lớp học'!$I$10:$I$49&lt;=$A14+0.000001)*('Thông tin lớp học'!$J$10:$J$49&gt;$A14+0.000001))&gt;1,"⚠ Trùng lịch",IF(SUMPRODUCT(('Hoạt động'!$A$5:$A$104=H$5)*('Hoạt động'!$B$5:$B$104&lt;=$A14+0.000001)*('Hoạt động'!$C$5:$C$104&gt;$A14+0.000001))=1,INDEX('Hoạt động'!$D$5:$D$104,SUMPRODUCT(('Hoạt động'!$A$5:$A$104=H$5)*('Hoạt động'!$B$5:$B$104&lt;=$A14+0.000001)*('Hoạt động'!$C$5:$C$104&gt;$A14+0.000001)*(ROW('Hoạt động'!$A$5:$A$104)-4))),INDEX('Thông tin lớp học'!$G$10:$G$49,SUMPRODUCT(('Thông tin lớp học'!$H$10:$H$49=H$4)*('Thông tin lớp học'!$I$10:$I$49&lt;=$A14+0.000001)*('Thông tin lớp học'!$J$10:$J$49&gt;$A14+0.000001)*(ROW('Thông tin lớp học'!$H$10:$H$49)-9))))))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6">
        <v>0.4375</v>
      </c>
      <c r="B15" s="123" t="str">
        <f t="array" ref="B15">IF(SUMPRODUCT(('Hoạt động'!$A$5:$A$104=B$5)*('Hoạt động'!$B$5:$B$104&lt;=$A15+0.000001)*('Hoạt động'!$C$5:$C$104&gt;$A15+0.000001))+SUMPRODUCT(('Thông tin lớp học'!$H$10:$H$49=B$4)*('Thông tin lớp học'!$I$10:$I$49&lt;=$A15+0.000001)*('Thông tin lớp học'!$J$10:$J$49&gt;$A15+0.000001))=0,"",IF(SUMPRODUCT(('Hoạt động'!$A$5:$A$104=B$5)*('Hoạt động'!$B$5:$B$104&lt;=$A15+0.000001)*('Hoạt động'!$C$5:$C$104&gt;$A15+0.000001))+SUMPRODUCT(('Thông tin lớp học'!$H$10:$H$49=B$4)*('Thông tin lớp học'!$I$10:$I$49&lt;=$A15+0.000001)*('Thông tin lớp học'!$J$10:$J$49&gt;$A15+0.000001))&gt;1,"⚠ Trùng lịch",IF(SUMPRODUCT(('Hoạt động'!$A$5:$A$104=B$5)*('Hoạt động'!$B$5:$B$104&lt;=$A15+0.000001)*('Hoạt động'!$C$5:$C$104&gt;$A15+0.000001))=1,INDEX('Hoạt động'!$D$5:$D$104,SUMPRODUCT(('Hoạt động'!$A$5:$A$104=B$5)*('Hoạt động'!$B$5:$B$104&lt;=$A15+0.000001)*('Hoạt động'!$C$5:$C$104&gt;$A15+0.000001)*(ROW('Hoạt động'!$A$5:$A$104)-4))),INDEX('Thông tin lớp học'!$G$10:$G$49,SUMPRODUCT(('Thông tin lớp học'!$H$10:$H$49=B$4)*('Thông tin lớp học'!$I$10:$I$49&lt;=$A15+0.000001)*('Thông tin lớp học'!$J$10:$J$49&gt;$A15+0.000001)*(ROW('Thông tin lớp học'!$H$10:$H$49)-9))))))</f>
        <v/>
      </c>
      <c r="C15" s="123" t="str">
        <f t="array" ref="C15">IF(SUMPRODUCT(('Hoạt động'!$A$5:$A$104=C$5)*('Hoạt động'!$B$5:$B$104&lt;=$A15+0.000001)*('Hoạt động'!$C$5:$C$104&gt;$A15+0.000001))+SUMPRODUCT(('Thông tin lớp học'!$H$10:$H$49=C$4)*('Thông tin lớp học'!$I$10:$I$49&lt;=$A15+0.000001)*('Thông tin lớp học'!$J$10:$J$49&gt;$A15+0.000001))=0,"",IF(SUMPRODUCT(('Hoạt động'!$A$5:$A$104=C$5)*('Hoạt động'!$B$5:$B$104&lt;=$A15+0.000001)*('Hoạt động'!$C$5:$C$104&gt;$A15+0.000001))+SUMPRODUCT(('Thông tin lớp học'!$H$10:$H$49=C$4)*('Thông tin lớp học'!$I$10:$I$49&lt;=$A15+0.000001)*('Thông tin lớp học'!$J$10:$J$49&gt;$A15+0.000001))&gt;1,"⚠ Trùng lịch",IF(SUMPRODUCT(('Hoạt động'!$A$5:$A$104=C$5)*('Hoạt động'!$B$5:$B$104&lt;=$A15+0.000001)*('Hoạt động'!$C$5:$C$104&gt;$A15+0.000001))=1,INDEX('Hoạt động'!$D$5:$D$104,SUMPRODUCT(('Hoạt động'!$A$5:$A$104=C$5)*('Hoạt động'!$B$5:$B$104&lt;=$A15+0.000001)*('Hoạt động'!$C$5:$C$104&gt;$A15+0.000001)*(ROW('Hoạt động'!$A$5:$A$104)-4))),INDEX('Thông tin lớp học'!$G$10:$G$49,SUMPRODUCT(('Thông tin lớp học'!$H$10:$H$49=C$4)*('Thông tin lớp học'!$I$10:$I$49&lt;=$A15+0.000001)*('Thông tin lớp học'!$J$10:$J$49&gt;$A15+0.000001)*(ROW('Thông tin lớp học'!$H$10:$H$49)-9))))))</f>
        <v/>
      </c>
      <c r="D15" s="123" t="str">
        <f t="array" ref="D15">IF(SUMPRODUCT(('Hoạt động'!$A$5:$A$104=D$5)*('Hoạt động'!$B$5:$B$104&lt;=$A15+0.000001)*('Hoạt động'!$C$5:$C$104&gt;$A15+0.000001))+SUMPRODUCT(('Thông tin lớp học'!$H$10:$H$49=D$4)*('Thông tin lớp học'!$I$10:$I$49&lt;=$A15+0.000001)*('Thông tin lớp học'!$J$10:$J$49&gt;$A15+0.000001))=0,"",IF(SUMPRODUCT(('Hoạt động'!$A$5:$A$104=D$5)*('Hoạt động'!$B$5:$B$104&lt;=$A15+0.000001)*('Hoạt động'!$C$5:$C$104&gt;$A15+0.000001))+SUMPRODUCT(('Thông tin lớp học'!$H$10:$H$49=D$4)*('Thông tin lớp học'!$I$10:$I$49&lt;=$A15+0.000001)*('Thông tin lớp học'!$J$10:$J$49&gt;$A15+0.000001))&gt;1,"⚠ Trùng lịch",IF(SUMPRODUCT(('Hoạt động'!$A$5:$A$104=D$5)*('Hoạt động'!$B$5:$B$104&lt;=$A15+0.000001)*('Hoạt động'!$C$5:$C$104&gt;$A15+0.000001))=1,INDEX('Hoạt động'!$D$5:$D$104,SUMPRODUCT(('Hoạt động'!$A$5:$A$104=D$5)*('Hoạt động'!$B$5:$B$104&lt;=$A15+0.000001)*('Hoạt động'!$C$5:$C$104&gt;$A15+0.000001)*(ROW('Hoạt động'!$A$5:$A$104)-4))),INDEX('Thông tin lớp học'!$G$10:$G$49,SUMPRODUCT(('Thông tin lớp học'!$H$10:$H$49=D$4)*('Thông tin lớp học'!$I$10:$I$49&lt;=$A15+0.000001)*('Thông tin lớp học'!$J$10:$J$49&gt;$A15+0.000001)*(ROW('Thông tin lớp học'!$H$10:$H$49)-9))))))</f>
        <v>⚠ Trùng lịch</v>
      </c>
      <c r="E15" s="123" t="str">
        <f t="array" ref="E15">IF(SUMPRODUCT(('Hoạt động'!$A$5:$A$104=E$5)*('Hoạt động'!$B$5:$B$104&lt;=$A15+0.000001)*('Hoạt động'!$C$5:$C$104&gt;$A15+0.000001))+SUMPRODUCT(('Thông tin lớp học'!$H$10:$H$49=E$4)*('Thông tin lớp học'!$I$10:$I$49&lt;=$A15+0.000001)*('Thông tin lớp học'!$J$10:$J$49&gt;$A15+0.000001))=0,"",IF(SUMPRODUCT(('Hoạt động'!$A$5:$A$104=E$5)*('Hoạt động'!$B$5:$B$104&lt;=$A15+0.000001)*('Hoạt động'!$C$5:$C$104&gt;$A15+0.000001))+SUMPRODUCT(('Thông tin lớp học'!$H$10:$H$49=E$4)*('Thông tin lớp học'!$I$10:$I$49&lt;=$A15+0.000001)*('Thông tin lớp học'!$J$10:$J$49&gt;$A15+0.000001))&gt;1,"⚠ Trùng lịch",IF(SUMPRODUCT(('Hoạt động'!$A$5:$A$104=E$5)*('Hoạt động'!$B$5:$B$104&lt;=$A15+0.000001)*('Hoạt động'!$C$5:$C$104&gt;$A15+0.000001))=1,INDEX('Hoạt động'!$D$5:$D$104,SUMPRODUCT(('Hoạt động'!$A$5:$A$104=E$5)*('Hoạt động'!$B$5:$B$104&lt;=$A15+0.000001)*('Hoạt động'!$C$5:$C$104&gt;$A15+0.000001)*(ROW('Hoạt động'!$A$5:$A$104)-4))),INDEX('Thông tin lớp học'!$G$10:$G$49,SUMPRODUCT(('Thông tin lớp học'!$H$10:$H$49=E$4)*('Thông tin lớp học'!$I$10:$I$49&lt;=$A15+0.000001)*('Thông tin lớp học'!$J$10:$J$49&gt;$A15+0.000001)*(ROW('Thông tin lớp học'!$H$10:$H$49)-9))))))</f>
        <v>Toán cao cấp</v>
      </c>
      <c r="F15" s="123" t="str">
        <f t="array" ref="F15">IF(SUMPRODUCT(('Hoạt động'!$A$5:$A$104=F$5)*('Hoạt động'!$B$5:$B$104&lt;=$A15+0.000001)*('Hoạt động'!$C$5:$C$104&gt;$A15+0.000001))+SUMPRODUCT(('Thông tin lớp học'!$H$10:$H$49=F$4)*('Thông tin lớp học'!$I$10:$I$49&lt;=$A15+0.000001)*('Thông tin lớp học'!$J$10:$J$49&gt;$A15+0.000001))=0,"",IF(SUMPRODUCT(('Hoạt động'!$A$5:$A$104=F$5)*('Hoạt động'!$B$5:$B$104&lt;=$A15+0.000001)*('Hoạt động'!$C$5:$C$104&gt;$A15+0.000001))+SUMPRODUCT(('Thông tin lớp học'!$H$10:$H$49=F$4)*('Thông tin lớp học'!$I$10:$I$49&lt;=$A15+0.000001)*('Thông tin lớp học'!$J$10:$J$49&gt;$A15+0.000001))&gt;1,"⚠ Trùng lịch",IF(SUMPRODUCT(('Hoạt động'!$A$5:$A$104=F$5)*('Hoạt động'!$B$5:$B$104&lt;=$A15+0.000001)*('Hoạt động'!$C$5:$C$104&gt;$A15+0.000001))=1,INDEX('Hoạt động'!$D$5:$D$104,SUMPRODUCT(('Hoạt động'!$A$5:$A$104=F$5)*('Hoạt động'!$B$5:$B$104&lt;=$A15+0.000001)*('Hoạt động'!$C$5:$C$104&gt;$A15+0.000001)*(ROW('Hoạt động'!$A$5:$A$104)-4))),INDEX('Thông tin lớp học'!$G$10:$G$49,SUMPRODUCT(('Thông tin lớp học'!$H$10:$H$49=F$4)*('Thông tin lớp học'!$I$10:$I$49&lt;=$A15+0.000001)*('Thông tin lớp học'!$J$10:$J$49&gt;$A15+0.000001)*(ROW('Thông tin lớp học'!$H$10:$H$49)-9))))))</f>
        <v/>
      </c>
      <c r="G15" s="123" t="str">
        <f t="array" ref="G15">IF(SUMPRODUCT(('Hoạt động'!$A$5:$A$104=G$5)*('Hoạt động'!$B$5:$B$104&lt;=$A15+0.000001)*('Hoạt động'!$C$5:$C$104&gt;$A15+0.000001))+SUMPRODUCT(('Thông tin lớp học'!$H$10:$H$49=G$4)*('Thông tin lớp học'!$I$10:$I$49&lt;=$A15+0.000001)*('Thông tin lớp học'!$J$10:$J$49&gt;$A15+0.000001))=0,"",IF(SUMPRODUCT(('Hoạt động'!$A$5:$A$104=G$5)*('Hoạt động'!$B$5:$B$104&lt;=$A15+0.000001)*('Hoạt động'!$C$5:$C$104&gt;$A15+0.000001))+SUMPRODUCT(('Thông tin lớp học'!$H$10:$H$49=G$4)*('Thông tin lớp học'!$I$10:$I$49&lt;=$A15+0.000001)*('Thông tin lớp học'!$J$10:$J$49&gt;$A15+0.000001))&gt;1,"⚠ Trùng lịch",IF(SUMPRODUCT(('Hoạt động'!$A$5:$A$104=G$5)*('Hoạt động'!$B$5:$B$104&lt;=$A15+0.000001)*('Hoạt động'!$C$5:$C$104&gt;$A15+0.000001))=1,INDEX('Hoạt động'!$D$5:$D$104,SUMPRODUCT(('Hoạt động'!$A$5:$A$104=G$5)*('Hoạt động'!$B$5:$B$104&lt;=$A15+0.000001)*('Hoạt động'!$C$5:$C$104&gt;$A15+0.000001)*(ROW('Hoạt động'!$A$5:$A$104)-4))),INDEX('Thông tin lớp học'!$G$10:$G$49,SUMPRODUCT(('Thông tin lớp học'!$H$10:$H$49=G$4)*('Thông tin lớp học'!$I$10:$I$49&lt;=$A15+0.000001)*('Thông tin lớp học'!$J$10:$J$49&gt;$A15+0.000001)*(ROW('Thông tin lớp học'!$H$10:$H$49)-9))))))</f>
        <v/>
      </c>
      <c r="H15" s="123" t="str">
        <f t="array" ref="H15">IF(SUMPRODUCT(('Hoạt động'!$A$5:$A$104=H$5)*('Hoạt động'!$B$5:$B$104&lt;=$A15+0.000001)*('Hoạt động'!$C$5:$C$104&gt;$A15+0.000001))+SUMPRODUCT(('Thông tin lớp học'!$H$10:$H$49=H$4)*('Thông tin lớp học'!$I$10:$I$49&lt;=$A15+0.000001)*('Thông tin lớp học'!$J$10:$J$49&gt;$A15+0.000001))=0,"",IF(SUMPRODUCT(('Hoạt động'!$A$5:$A$104=H$5)*('Hoạt động'!$B$5:$B$104&lt;=$A15+0.000001)*('Hoạt động'!$C$5:$C$104&gt;$A15+0.000001))+SUMPRODUCT(('Thông tin lớp học'!$H$10:$H$49=H$4)*('Thông tin lớp học'!$I$10:$I$49&lt;=$A15+0.000001)*('Thông tin lớp học'!$J$10:$J$49&gt;$A15+0.000001))&gt;1,"⚠ Trùng lịch",IF(SUMPRODUCT(('Hoạt động'!$A$5:$A$104=H$5)*('Hoạt động'!$B$5:$B$104&lt;=$A15+0.000001)*('Hoạt động'!$C$5:$C$104&gt;$A15+0.000001))=1,INDEX('Hoạt động'!$D$5:$D$104,SUMPRODUCT(('Hoạt động'!$A$5:$A$104=H$5)*('Hoạt động'!$B$5:$B$104&lt;=$A15+0.000001)*('Hoạt động'!$C$5:$C$104&gt;$A15+0.000001)*(ROW('Hoạt động'!$A$5:$A$104)-4))),INDEX('Thông tin lớp học'!$G$10:$G$49,SUMPRODUCT(('Thông tin lớp học'!$H$10:$H$49=H$4)*('Thông tin lớp học'!$I$10:$I$49&lt;=$A15+0.000001)*('Thông tin lớp học'!$J$10:$J$49&gt;$A15+0.000001)*(ROW('Thông tin lớp học'!$H$10:$H$49)-9))))))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6">
        <v>0.458333333333333</v>
      </c>
      <c r="B16" s="123" t="str">
        <f t="array" ref="B16">IF(SUMPRODUCT(('Hoạt động'!$A$5:$A$104=B$5)*('Hoạt động'!$B$5:$B$104&lt;=$A16+0.000001)*('Hoạt động'!$C$5:$C$104&gt;$A16+0.000001))+SUMPRODUCT(('Thông tin lớp học'!$H$10:$H$49=B$4)*('Thông tin lớp học'!$I$10:$I$49&lt;=$A16+0.000001)*('Thông tin lớp học'!$J$10:$J$49&gt;$A16+0.000001))=0,"",IF(SUMPRODUCT(('Hoạt động'!$A$5:$A$104=B$5)*('Hoạt động'!$B$5:$B$104&lt;=$A16+0.000001)*('Hoạt động'!$C$5:$C$104&gt;$A16+0.000001))+SUMPRODUCT(('Thông tin lớp học'!$H$10:$H$49=B$4)*('Thông tin lớp học'!$I$10:$I$49&lt;=$A16+0.000001)*('Thông tin lớp học'!$J$10:$J$49&gt;$A16+0.000001))&gt;1,"⚠ Trùng lịch",IF(SUMPRODUCT(('Hoạt động'!$A$5:$A$104=B$5)*('Hoạt động'!$B$5:$B$104&lt;=$A16+0.000001)*('Hoạt động'!$C$5:$C$104&gt;$A16+0.000001))=1,INDEX('Hoạt động'!$D$5:$D$104,SUMPRODUCT(('Hoạt động'!$A$5:$A$104=B$5)*('Hoạt động'!$B$5:$B$104&lt;=$A16+0.000001)*('Hoạt động'!$C$5:$C$104&gt;$A16+0.000001)*(ROW('Hoạt động'!$A$5:$A$104)-4))),INDEX('Thông tin lớp học'!$G$10:$G$49,SUMPRODUCT(('Thông tin lớp học'!$H$10:$H$49=B$4)*('Thông tin lớp học'!$I$10:$I$49&lt;=$A16+0.000001)*('Thông tin lớp học'!$J$10:$J$49&gt;$A16+0.000001)*(ROW('Thông tin lớp học'!$H$10:$H$49)-9))))))</f>
        <v/>
      </c>
      <c r="C16" s="123" t="str">
        <f t="array" ref="C16">IF(SUMPRODUCT(('Hoạt động'!$A$5:$A$104=C$5)*('Hoạt động'!$B$5:$B$104&lt;=$A16+0.000001)*('Hoạt động'!$C$5:$C$104&gt;$A16+0.000001))+SUMPRODUCT(('Thông tin lớp học'!$H$10:$H$49=C$4)*('Thông tin lớp học'!$I$10:$I$49&lt;=$A16+0.000001)*('Thông tin lớp học'!$J$10:$J$49&gt;$A16+0.000001))=0,"",IF(SUMPRODUCT(('Hoạt động'!$A$5:$A$104=C$5)*('Hoạt động'!$B$5:$B$104&lt;=$A16+0.000001)*('Hoạt động'!$C$5:$C$104&gt;$A16+0.000001))+SUMPRODUCT(('Thông tin lớp học'!$H$10:$H$49=C$4)*('Thông tin lớp học'!$I$10:$I$49&lt;=$A16+0.000001)*('Thông tin lớp học'!$J$10:$J$49&gt;$A16+0.000001))&gt;1,"⚠ Trùng lịch",IF(SUMPRODUCT(('Hoạt động'!$A$5:$A$104=C$5)*('Hoạt động'!$B$5:$B$104&lt;=$A16+0.000001)*('Hoạt động'!$C$5:$C$104&gt;$A16+0.000001))=1,INDEX('Hoạt động'!$D$5:$D$104,SUMPRODUCT(('Hoạt động'!$A$5:$A$104=C$5)*('Hoạt động'!$B$5:$B$104&lt;=$A16+0.000001)*('Hoạt động'!$C$5:$C$104&gt;$A16+0.000001)*(ROW('Hoạt động'!$A$5:$A$104)-4))),INDEX('Thông tin lớp học'!$G$10:$G$49,SUMPRODUCT(('Thông tin lớp học'!$H$10:$H$49=C$4)*('Thông tin lớp học'!$I$10:$I$49&lt;=$A16+0.000001)*('Thông tin lớp học'!$J$10:$J$49&gt;$A16+0.000001)*(ROW('Thông tin lớp học'!$H$10:$H$49)-9))))))</f>
        <v/>
      </c>
      <c r="D16" s="123" t="str">
        <f t="array" ref="D16">IF(SUMPRODUCT(('Hoạt động'!$A$5:$A$104=D$5)*('Hoạt động'!$B$5:$B$104&lt;=$A16+0.000001)*('Hoạt động'!$C$5:$C$104&gt;$A16+0.000001))+SUMPRODUCT(('Thông tin lớp học'!$H$10:$H$49=D$4)*('Thông tin lớp học'!$I$10:$I$49&lt;=$A16+0.000001)*('Thông tin lớp học'!$J$10:$J$49&gt;$A16+0.000001))=0,"",IF(SUMPRODUCT(('Hoạt động'!$A$5:$A$104=D$5)*('Hoạt động'!$B$5:$B$104&lt;=$A16+0.000001)*('Hoạt động'!$C$5:$C$104&gt;$A16+0.000001))+SUMPRODUCT(('Thông tin lớp học'!$H$10:$H$49=D$4)*('Thông tin lớp học'!$I$10:$I$49&lt;=$A16+0.000001)*('Thông tin lớp học'!$J$10:$J$49&gt;$A16+0.000001))&gt;1,"⚠ Trùng lịch",IF(SUMPRODUCT(('Hoạt động'!$A$5:$A$104=D$5)*('Hoạt động'!$B$5:$B$104&lt;=$A16+0.000001)*('Hoạt động'!$C$5:$C$104&gt;$A16+0.000001))=1,INDEX('Hoạt động'!$D$5:$D$104,SUMPRODUCT(('Hoạt động'!$A$5:$A$104=D$5)*('Hoạt động'!$B$5:$B$104&lt;=$A16+0.000001)*('Hoạt động'!$C$5:$C$104&gt;$A16+0.000001)*(ROW('Hoạt động'!$A$5:$A$104)-4))),INDEX('Thông tin lớp học'!$G$10:$G$49,SUMPRODUCT(('Thông tin lớp học'!$H$10:$H$49=D$4)*('Thông tin lớp học'!$I$10:$I$49&lt;=$A16+0.000001)*('Thông tin lớp học'!$J$10:$J$49&gt;$A16+0.000001)*(ROW('Thông tin lớp học'!$H$10:$H$49)-9))))))</f>
        <v>Kiểm tra giữa kỳ Toán cao cấp</v>
      </c>
      <c r="E16" s="123" t="str">
        <f t="array" ref="E16">IF(SUMPRODUCT(('Hoạt động'!$A$5:$A$104=E$5)*('Hoạt động'!$B$5:$B$104&lt;=$A16+0.000001)*('Hoạt động'!$C$5:$C$104&gt;$A16+0.000001))+SUMPRODUCT(('Thông tin lớp học'!$H$10:$H$49=E$4)*('Thông tin lớp học'!$I$10:$I$49&lt;=$A16+0.000001)*('Thông tin lớp học'!$J$10:$J$49&gt;$A16+0.000001))=0,"",IF(SUMPRODUCT(('Hoạt động'!$A$5:$A$104=E$5)*('Hoạt động'!$B$5:$B$104&lt;=$A16+0.000001)*('Hoạt động'!$C$5:$C$104&gt;$A16+0.000001))+SUMPRODUCT(('Thông tin lớp học'!$H$10:$H$49=E$4)*('Thông tin lớp học'!$I$10:$I$49&lt;=$A16+0.000001)*('Thông tin lớp học'!$J$10:$J$49&gt;$A16+0.000001))&gt;1,"⚠ Trùng lịch",IF(SUMPRODUCT(('Hoạt động'!$A$5:$A$104=E$5)*('Hoạt động'!$B$5:$B$104&lt;=$A16+0.000001)*('Hoạt động'!$C$5:$C$104&gt;$A16+0.000001))=1,INDEX('Hoạt động'!$D$5:$D$104,SUMPRODUCT(('Hoạt động'!$A$5:$A$104=E$5)*('Hoạt động'!$B$5:$B$104&lt;=$A16+0.000001)*('Hoạt động'!$C$5:$C$104&gt;$A16+0.000001)*(ROW('Hoạt động'!$A$5:$A$104)-4))),INDEX('Thông tin lớp học'!$G$10:$G$49,SUMPRODUCT(('Thông tin lớp học'!$H$10:$H$49=E$4)*('Thông tin lớp học'!$I$10:$I$49&lt;=$A16+0.000001)*('Thông tin lớp học'!$J$10:$J$49&gt;$A16+0.000001)*(ROW('Thông tin lớp học'!$H$10:$H$49)-9))))))</f>
        <v/>
      </c>
      <c r="F16" s="123" t="str">
        <f t="array" ref="F16">IF(SUMPRODUCT(('Hoạt động'!$A$5:$A$104=F$5)*('Hoạt động'!$B$5:$B$104&lt;=$A16+0.000001)*('Hoạt động'!$C$5:$C$104&gt;$A16+0.000001))+SUMPRODUCT(('Thông tin lớp học'!$H$10:$H$49=F$4)*('Thông tin lớp học'!$I$10:$I$49&lt;=$A16+0.000001)*('Thông tin lớp học'!$J$10:$J$49&gt;$A16+0.000001))=0,"",IF(SUMPRODUCT(('Hoạt động'!$A$5:$A$104=F$5)*('Hoạt động'!$B$5:$B$104&lt;=$A16+0.000001)*('Hoạt động'!$C$5:$C$104&gt;$A16+0.000001))+SUMPRODUCT(('Thông tin lớp học'!$H$10:$H$49=F$4)*('Thông tin lớp học'!$I$10:$I$49&lt;=$A16+0.000001)*('Thông tin lớp học'!$J$10:$J$49&gt;$A16+0.000001))&gt;1,"⚠ Trùng lịch",IF(SUMPRODUCT(('Hoạt động'!$A$5:$A$104=F$5)*('Hoạt động'!$B$5:$B$104&lt;=$A16+0.000001)*('Hoạt động'!$C$5:$C$104&gt;$A16+0.000001))=1,INDEX('Hoạt động'!$D$5:$D$104,SUMPRODUCT(('Hoạt động'!$A$5:$A$104=F$5)*('Hoạt động'!$B$5:$B$104&lt;=$A16+0.000001)*('Hoạt động'!$C$5:$C$104&gt;$A16+0.000001)*(ROW('Hoạt động'!$A$5:$A$104)-4))),INDEX('Thông tin lớp học'!$G$10:$G$49,SUMPRODUCT(('Thông tin lớp học'!$H$10:$H$49=F$4)*('Thông tin lớp học'!$I$10:$I$49&lt;=$A16+0.000001)*('Thông tin lớp học'!$J$10:$J$49&gt;$A16+0.000001)*(ROW('Thông tin lớp học'!$H$10:$H$49)-9))))))</f>
        <v/>
      </c>
      <c r="G16" s="123" t="str">
        <f t="array" ref="G16">IF(SUMPRODUCT(('Hoạt động'!$A$5:$A$104=G$5)*('Hoạt động'!$B$5:$B$104&lt;=$A16+0.000001)*('Hoạt động'!$C$5:$C$104&gt;$A16+0.000001))+SUMPRODUCT(('Thông tin lớp học'!$H$10:$H$49=G$4)*('Thông tin lớp học'!$I$10:$I$49&lt;=$A16+0.000001)*('Thông tin lớp học'!$J$10:$J$49&gt;$A16+0.000001))=0,"",IF(SUMPRODUCT(('Hoạt động'!$A$5:$A$104=G$5)*('Hoạt động'!$B$5:$B$104&lt;=$A16+0.000001)*('Hoạt động'!$C$5:$C$104&gt;$A16+0.000001))+SUMPRODUCT(('Thông tin lớp học'!$H$10:$H$49=G$4)*('Thông tin lớp học'!$I$10:$I$49&lt;=$A16+0.000001)*('Thông tin lớp học'!$J$10:$J$49&gt;$A16+0.000001))&gt;1,"⚠ Trùng lịch",IF(SUMPRODUCT(('Hoạt động'!$A$5:$A$104=G$5)*('Hoạt động'!$B$5:$B$104&lt;=$A16+0.000001)*('Hoạt động'!$C$5:$C$104&gt;$A16+0.000001))=1,INDEX('Hoạt động'!$D$5:$D$104,SUMPRODUCT(('Hoạt động'!$A$5:$A$104=G$5)*('Hoạt động'!$B$5:$B$104&lt;=$A16+0.000001)*('Hoạt động'!$C$5:$C$104&gt;$A16+0.000001)*(ROW('Hoạt động'!$A$5:$A$104)-4))),INDEX('Thông tin lớp học'!$G$10:$G$49,SUMPRODUCT(('Thông tin lớp học'!$H$10:$H$49=G$4)*('Thông tin lớp học'!$I$10:$I$49&lt;=$A16+0.000001)*('Thông tin lớp học'!$J$10:$J$49&gt;$A16+0.000001)*(ROW('Thông tin lớp học'!$H$10:$H$49)-9))))))</f>
        <v/>
      </c>
      <c r="H16" s="123" t="str">
        <f t="array" ref="H16">IF(SUMPRODUCT(('Hoạt động'!$A$5:$A$104=H$5)*('Hoạt động'!$B$5:$B$104&lt;=$A16+0.000001)*('Hoạt động'!$C$5:$C$104&gt;$A16+0.000001))+SUMPRODUCT(('Thông tin lớp học'!$H$10:$H$49=H$4)*('Thông tin lớp học'!$I$10:$I$49&lt;=$A16+0.000001)*('Thông tin lớp học'!$J$10:$J$49&gt;$A16+0.000001))=0,"",IF(SUMPRODUCT(('Hoạt động'!$A$5:$A$104=H$5)*('Hoạt động'!$B$5:$B$104&lt;=$A16+0.000001)*('Hoạt động'!$C$5:$C$104&gt;$A16+0.000001))+SUMPRODUCT(('Thông tin lớp học'!$H$10:$H$49=H$4)*('Thông tin lớp học'!$I$10:$I$49&lt;=$A16+0.000001)*('Thông tin lớp học'!$J$10:$J$49&gt;$A16+0.000001))&gt;1,"⚠ Trùng lịch",IF(SUMPRODUCT(('Hoạt động'!$A$5:$A$104=H$5)*('Hoạt động'!$B$5:$B$104&lt;=$A16+0.000001)*('Hoạt động'!$C$5:$C$104&gt;$A16+0.000001))=1,INDEX('Hoạt động'!$D$5:$D$104,SUMPRODUCT(('Hoạt động'!$A$5:$A$104=H$5)*('Hoạt động'!$B$5:$B$104&lt;=$A16+0.000001)*('Hoạt động'!$C$5:$C$104&gt;$A16+0.000001)*(ROW('Hoạt động'!$A$5:$A$104)-4))),INDEX('Thông tin lớp học'!$G$10:$G$49,SUMPRODUCT(('Thông tin lớp học'!$H$10:$H$49=H$4)*('Thông tin lớp học'!$I$10:$I$49&lt;=$A16+0.000001)*('Thông tin lớp học'!$J$10:$J$49&gt;$A16+0.000001)*(ROW('Thông tin lớp học'!$H$10:$H$49)-9))))))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6">
        <v>0.479166666666667</v>
      </c>
      <c r="B17" s="123" t="str">
        <f t="array" ref="B17">IF(SUMPRODUCT(('Hoạt động'!$A$5:$A$104=B$5)*('Hoạt động'!$B$5:$B$104&lt;=$A17+0.000001)*('Hoạt động'!$C$5:$C$104&gt;$A17+0.000001))+SUMPRODUCT(('Thông tin lớp học'!$H$10:$H$49=B$4)*('Thông tin lớp học'!$I$10:$I$49&lt;=$A17+0.000001)*('Thông tin lớp học'!$J$10:$J$49&gt;$A17+0.000001))=0,"",IF(SUMPRODUCT(('Hoạt động'!$A$5:$A$104=B$5)*('Hoạt động'!$B$5:$B$104&lt;=$A17+0.000001)*('Hoạt động'!$C$5:$C$104&gt;$A17+0.000001))+SUMPRODUCT(('Thông tin lớp học'!$H$10:$H$49=B$4)*('Thông tin lớp học'!$I$10:$I$49&lt;=$A17+0.000001)*('Thông tin lớp học'!$J$10:$J$49&gt;$A17+0.000001))&gt;1,"⚠ Trùng lịch",IF(SUMPRODUCT(('Hoạt động'!$A$5:$A$104=B$5)*('Hoạt động'!$B$5:$B$104&lt;=$A17+0.000001)*('Hoạt động'!$C$5:$C$104&gt;$A17+0.000001))=1,INDEX('Hoạt động'!$D$5:$D$104,SUMPRODUCT(('Hoạt động'!$A$5:$A$104=B$5)*('Hoạt động'!$B$5:$B$104&lt;=$A17+0.000001)*('Hoạt động'!$C$5:$C$104&gt;$A17+0.000001)*(ROW('Hoạt động'!$A$5:$A$104)-4))),INDEX('Thông tin lớp học'!$G$10:$G$49,SUMPRODUCT(('Thông tin lớp học'!$H$10:$H$49=B$4)*('Thông tin lớp học'!$I$10:$I$49&lt;=$A17+0.000001)*('Thông tin lớp học'!$J$10:$J$49&gt;$A17+0.000001)*(ROW('Thông tin lớp học'!$H$10:$H$49)-9))))))</f>
        <v/>
      </c>
      <c r="C17" s="123" t="str">
        <f t="array" ref="C17">IF(SUMPRODUCT(('Hoạt động'!$A$5:$A$104=C$5)*('Hoạt động'!$B$5:$B$104&lt;=$A17+0.000001)*('Hoạt động'!$C$5:$C$104&gt;$A17+0.000001))+SUMPRODUCT(('Thông tin lớp học'!$H$10:$H$49=C$4)*('Thông tin lớp học'!$I$10:$I$49&lt;=$A17+0.000001)*('Thông tin lớp học'!$J$10:$J$49&gt;$A17+0.000001))=0,"",IF(SUMPRODUCT(('Hoạt động'!$A$5:$A$104=C$5)*('Hoạt động'!$B$5:$B$104&lt;=$A17+0.000001)*('Hoạt động'!$C$5:$C$104&gt;$A17+0.000001))+SUMPRODUCT(('Thông tin lớp học'!$H$10:$H$49=C$4)*('Thông tin lớp học'!$I$10:$I$49&lt;=$A17+0.000001)*('Thông tin lớp học'!$J$10:$J$49&gt;$A17+0.000001))&gt;1,"⚠ Trùng lịch",IF(SUMPRODUCT(('Hoạt động'!$A$5:$A$104=C$5)*('Hoạt động'!$B$5:$B$104&lt;=$A17+0.000001)*('Hoạt động'!$C$5:$C$104&gt;$A17+0.000001))=1,INDEX('Hoạt động'!$D$5:$D$104,SUMPRODUCT(('Hoạt động'!$A$5:$A$104=C$5)*('Hoạt động'!$B$5:$B$104&lt;=$A17+0.000001)*('Hoạt động'!$C$5:$C$104&gt;$A17+0.000001)*(ROW('Hoạt động'!$A$5:$A$104)-4))),INDEX('Thông tin lớp học'!$G$10:$G$49,SUMPRODUCT(('Thông tin lớp học'!$H$10:$H$49=C$4)*('Thông tin lớp học'!$I$10:$I$49&lt;=$A17+0.000001)*('Thông tin lớp học'!$J$10:$J$49&gt;$A17+0.000001)*(ROW('Thông tin lớp học'!$H$10:$H$49)-9))))))</f>
        <v/>
      </c>
      <c r="D17" s="123" t="str">
        <f t="array" ref="D17">IF(SUMPRODUCT(('Hoạt động'!$A$5:$A$104=D$5)*('Hoạt động'!$B$5:$B$104&lt;=$A17+0.000001)*('Hoạt động'!$C$5:$C$104&gt;$A17+0.000001))+SUMPRODUCT(('Thông tin lớp học'!$H$10:$H$49=D$4)*('Thông tin lớp học'!$I$10:$I$49&lt;=$A17+0.000001)*('Thông tin lớp học'!$J$10:$J$49&gt;$A17+0.000001))=0,"",IF(SUMPRODUCT(('Hoạt động'!$A$5:$A$104=D$5)*('Hoạt động'!$B$5:$B$104&lt;=$A17+0.000001)*('Hoạt động'!$C$5:$C$104&gt;$A17+0.000001))+SUMPRODUCT(('Thông tin lớp học'!$H$10:$H$49=D$4)*('Thông tin lớp học'!$I$10:$I$49&lt;=$A17+0.000001)*('Thông tin lớp học'!$J$10:$J$49&gt;$A17+0.000001))&gt;1,"⚠ Trùng lịch",IF(SUMPRODUCT(('Hoạt động'!$A$5:$A$104=D$5)*('Hoạt động'!$B$5:$B$104&lt;=$A17+0.000001)*('Hoạt động'!$C$5:$C$104&gt;$A17+0.000001))=1,INDEX('Hoạt động'!$D$5:$D$104,SUMPRODUCT(('Hoạt động'!$A$5:$A$104=D$5)*('Hoạt động'!$B$5:$B$104&lt;=$A17+0.000001)*('Hoạt động'!$C$5:$C$104&gt;$A17+0.000001)*(ROW('Hoạt động'!$A$5:$A$104)-4))),INDEX('Thông tin lớp học'!$G$10:$G$49,SUMPRODUCT(('Thông tin lớp học'!$H$10:$H$49=D$4)*('Thông tin lớp học'!$I$10:$I$49&lt;=$A17+0.000001)*('Thông tin lớp học'!$J$10:$J$49&gt;$A17+0.000001)*(ROW('Thông tin lớp học'!$H$10:$H$49)-9))))))</f>
        <v/>
      </c>
      <c r="E17" s="123" t="str">
        <f t="array" ref="E17">IF(SUMPRODUCT(('Hoạt động'!$A$5:$A$104=E$5)*('Hoạt động'!$B$5:$B$104&lt;=$A17+0.000001)*('Hoạt động'!$C$5:$C$104&gt;$A17+0.000001))+SUMPRODUCT(('Thông tin lớp học'!$H$10:$H$49=E$4)*('Thông tin lớp học'!$I$10:$I$49&lt;=$A17+0.000001)*('Thông tin lớp học'!$J$10:$J$49&gt;$A17+0.000001))=0,"",IF(SUMPRODUCT(('Hoạt động'!$A$5:$A$104=E$5)*('Hoạt động'!$B$5:$B$104&lt;=$A17+0.000001)*('Hoạt động'!$C$5:$C$104&gt;$A17+0.000001))+SUMPRODUCT(('Thông tin lớp học'!$H$10:$H$49=E$4)*('Thông tin lớp học'!$I$10:$I$49&lt;=$A17+0.000001)*('Thông tin lớp học'!$J$10:$J$49&gt;$A17+0.000001))&gt;1,"⚠ Trùng lịch",IF(SUMPRODUCT(('Hoạt động'!$A$5:$A$104=E$5)*('Hoạt động'!$B$5:$B$104&lt;=$A17+0.000001)*('Hoạt động'!$C$5:$C$104&gt;$A17+0.000001))=1,INDEX('Hoạt động'!$D$5:$D$104,SUMPRODUCT(('Hoạt động'!$A$5:$A$104=E$5)*('Hoạt động'!$B$5:$B$104&lt;=$A17+0.000001)*('Hoạt động'!$C$5:$C$104&gt;$A17+0.000001)*(ROW('Hoạt động'!$A$5:$A$104)-4))),INDEX('Thông tin lớp học'!$G$10:$G$49,SUMPRODUCT(('Thông tin lớp học'!$H$10:$H$49=E$4)*('Thông tin lớp học'!$I$10:$I$49&lt;=$A17+0.000001)*('Thông tin lớp học'!$J$10:$J$49&gt;$A17+0.000001)*(ROW('Thông tin lớp học'!$H$10:$H$49)-9))))))</f>
        <v/>
      </c>
      <c r="F17" s="123" t="str">
        <f t="array" ref="F17">IF(SUMPRODUCT(('Hoạt động'!$A$5:$A$104=F$5)*('Hoạt động'!$B$5:$B$104&lt;=$A17+0.000001)*('Hoạt động'!$C$5:$C$104&gt;$A17+0.000001))+SUMPRODUCT(('Thông tin lớp học'!$H$10:$H$49=F$4)*('Thông tin lớp học'!$I$10:$I$49&lt;=$A17+0.000001)*('Thông tin lớp học'!$J$10:$J$49&gt;$A17+0.000001))=0,"",IF(SUMPRODUCT(('Hoạt động'!$A$5:$A$104=F$5)*('Hoạt động'!$B$5:$B$104&lt;=$A17+0.000001)*('Hoạt động'!$C$5:$C$104&gt;$A17+0.000001))+SUMPRODUCT(('Thông tin lớp học'!$H$10:$H$49=F$4)*('Thông tin lớp học'!$I$10:$I$49&lt;=$A17+0.000001)*('Thông tin lớp học'!$J$10:$J$49&gt;$A17+0.000001))&gt;1,"⚠ Trùng lịch",IF(SUMPRODUCT(('Hoạt động'!$A$5:$A$104=F$5)*('Hoạt động'!$B$5:$B$104&lt;=$A17+0.000001)*('Hoạt động'!$C$5:$C$104&gt;$A17+0.000001))=1,INDEX('Hoạt động'!$D$5:$D$104,SUMPRODUCT(('Hoạt động'!$A$5:$A$104=F$5)*('Hoạt động'!$B$5:$B$104&lt;=$A17+0.000001)*('Hoạt động'!$C$5:$C$104&gt;$A17+0.000001)*(ROW('Hoạt động'!$A$5:$A$104)-4))),INDEX('Thông tin lớp học'!$G$10:$G$49,SUMPRODUCT(('Thông tin lớp học'!$H$10:$H$49=F$4)*('Thông tin lớp học'!$I$10:$I$49&lt;=$A17+0.000001)*('Thông tin lớp học'!$J$10:$J$49&gt;$A17+0.000001)*(ROW('Thông tin lớp học'!$H$10:$H$49)-9))))))</f>
        <v/>
      </c>
      <c r="G17" s="123" t="str">
        <f t="array" ref="G17">IF(SUMPRODUCT(('Hoạt động'!$A$5:$A$104=G$5)*('Hoạt động'!$B$5:$B$104&lt;=$A17+0.000001)*('Hoạt động'!$C$5:$C$104&gt;$A17+0.000001))+SUMPRODUCT(('Thông tin lớp học'!$H$10:$H$49=G$4)*('Thông tin lớp học'!$I$10:$I$49&lt;=$A17+0.000001)*('Thông tin lớp học'!$J$10:$J$49&gt;$A17+0.000001))=0,"",IF(SUMPRODUCT(('Hoạt động'!$A$5:$A$104=G$5)*('Hoạt động'!$B$5:$B$104&lt;=$A17+0.000001)*('Hoạt động'!$C$5:$C$104&gt;$A17+0.000001))+SUMPRODUCT(('Thông tin lớp học'!$H$10:$H$49=G$4)*('Thông tin lớp học'!$I$10:$I$49&lt;=$A17+0.000001)*('Thông tin lớp học'!$J$10:$J$49&gt;$A17+0.000001))&gt;1,"⚠ Trùng lịch",IF(SUMPRODUCT(('Hoạt động'!$A$5:$A$104=G$5)*('Hoạt động'!$B$5:$B$104&lt;=$A17+0.000001)*('Hoạt động'!$C$5:$C$104&gt;$A17+0.000001))=1,INDEX('Hoạt động'!$D$5:$D$104,SUMPRODUCT(('Hoạt động'!$A$5:$A$104=G$5)*('Hoạt động'!$B$5:$B$104&lt;=$A17+0.000001)*('Hoạt động'!$C$5:$C$104&gt;$A17+0.000001)*(ROW('Hoạt động'!$A$5:$A$104)-4))),INDEX('Thông tin lớp học'!$G$10:$G$49,SUMPRODUCT(('Thông tin lớp học'!$H$10:$H$49=G$4)*('Thông tin lớp học'!$I$10:$I$49&lt;=$A17+0.000001)*('Thông tin lớp học'!$J$10:$J$49&gt;$A17+0.000001)*(ROW('Thông tin lớp học'!$H$10:$H$49)-9))))))</f>
        <v/>
      </c>
      <c r="H17" s="123" t="str">
        <f t="array" ref="H17">IF(SUMPRODUCT(('Hoạt động'!$A$5:$A$104=H$5)*('Hoạt động'!$B$5:$B$104&lt;=$A17+0.000001)*('Hoạt động'!$C$5:$C$104&gt;$A17+0.000001))+SUMPRODUCT(('Thông tin lớp học'!$H$10:$H$49=H$4)*('Thông tin lớp học'!$I$10:$I$49&lt;=$A17+0.000001)*('Thông tin lớp học'!$J$10:$J$49&gt;$A17+0.000001))=0,"",IF(SUMPRODUCT(('Hoạt động'!$A$5:$A$104=H$5)*('Hoạt động'!$B$5:$B$104&lt;=$A17+0.000001)*('Hoạt động'!$C$5:$C$104&gt;$A17+0.000001))+SUMPRODUCT(('Thông tin lớp học'!$H$10:$H$49=H$4)*('Thông tin lớp học'!$I$10:$I$49&lt;=$A17+0.000001)*('Thông tin lớp học'!$J$10:$J$49&gt;$A17+0.000001))&gt;1,"⚠ Trùng lịch",IF(SUMPRODUCT(('Hoạt động'!$A$5:$A$104=H$5)*('Hoạt động'!$B$5:$B$104&lt;=$A17+0.000001)*('Hoạt động'!$C$5:$C$104&gt;$A17+0.000001))=1,INDEX('Hoạt động'!$D$5:$D$104,SUMPRODUCT(('Hoạt động'!$A$5:$A$104=H$5)*('Hoạt động'!$B$5:$B$104&lt;=$A17+0.000001)*('Hoạt động'!$C$5:$C$104&gt;$A17+0.000001)*(ROW('Hoạt động'!$A$5:$A$104)-4))),INDEX('Thông tin lớp học'!$G$10:$G$49,SUMPRODUCT(('Thông tin lớp học'!$H$10:$H$49=H$4)*('Thông tin lớp học'!$I$10:$I$49&lt;=$A17+0.000001)*('Thông tin lớp học'!$J$10:$J$49&gt;$A17+0.000001)*(ROW('Thông tin lớp học'!$H$10:$H$49)-9))))))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6">
        <v>0.5</v>
      </c>
      <c r="B18" s="123" t="str">
        <f t="array" ref="B18">IF(SUMPRODUCT(('Hoạt động'!$A$5:$A$104=B$5)*('Hoạt động'!$B$5:$B$104&lt;=$A18+0.000001)*('Hoạt động'!$C$5:$C$104&gt;$A18+0.000001))+SUMPRODUCT(('Thông tin lớp học'!$H$10:$H$49=B$4)*('Thông tin lớp học'!$I$10:$I$49&lt;=$A18+0.000001)*('Thông tin lớp học'!$J$10:$J$49&gt;$A18+0.000001))=0,"",IF(SUMPRODUCT(('Hoạt động'!$A$5:$A$104=B$5)*('Hoạt động'!$B$5:$B$104&lt;=$A18+0.000001)*('Hoạt động'!$C$5:$C$104&gt;$A18+0.000001))+SUMPRODUCT(('Thông tin lớp học'!$H$10:$H$49=B$4)*('Thông tin lớp học'!$I$10:$I$49&lt;=$A18+0.000001)*('Thông tin lớp học'!$J$10:$J$49&gt;$A18+0.000001))&gt;1,"⚠ Trùng lịch",IF(SUMPRODUCT(('Hoạt động'!$A$5:$A$104=B$5)*('Hoạt động'!$B$5:$B$104&lt;=$A18+0.000001)*('Hoạt động'!$C$5:$C$104&gt;$A18+0.000001))=1,INDEX('Hoạt động'!$D$5:$D$104,SUMPRODUCT(('Hoạt động'!$A$5:$A$104=B$5)*('Hoạt động'!$B$5:$B$104&lt;=$A18+0.000001)*('Hoạt động'!$C$5:$C$104&gt;$A18+0.000001)*(ROW('Hoạt động'!$A$5:$A$104)-4))),INDEX('Thông tin lớp học'!$G$10:$G$49,SUMPRODUCT(('Thông tin lớp học'!$H$10:$H$49=B$4)*('Thông tin lớp học'!$I$10:$I$49&lt;=$A18+0.000001)*('Thông tin lớp học'!$J$10:$J$49&gt;$A18+0.000001)*(ROW('Thông tin lớp học'!$H$10:$H$49)-9))))))</f>
        <v/>
      </c>
      <c r="C18" s="123" t="str">
        <f t="array" ref="C18">IF(SUMPRODUCT(('Hoạt động'!$A$5:$A$104=C$5)*('Hoạt động'!$B$5:$B$104&lt;=$A18+0.000001)*('Hoạt động'!$C$5:$C$104&gt;$A18+0.000001))+SUMPRODUCT(('Thông tin lớp học'!$H$10:$H$49=C$4)*('Thông tin lớp học'!$I$10:$I$49&lt;=$A18+0.000001)*('Thông tin lớp học'!$J$10:$J$49&gt;$A18+0.000001))=0,"",IF(SUMPRODUCT(('Hoạt động'!$A$5:$A$104=C$5)*('Hoạt động'!$B$5:$B$104&lt;=$A18+0.000001)*('Hoạt động'!$C$5:$C$104&gt;$A18+0.000001))+SUMPRODUCT(('Thông tin lớp học'!$H$10:$H$49=C$4)*('Thông tin lớp học'!$I$10:$I$49&lt;=$A18+0.000001)*('Thông tin lớp học'!$J$10:$J$49&gt;$A18+0.000001))&gt;1,"⚠ Trùng lịch",IF(SUMPRODUCT(('Hoạt động'!$A$5:$A$104=C$5)*('Hoạt động'!$B$5:$B$104&lt;=$A18+0.000001)*('Hoạt động'!$C$5:$C$104&gt;$A18+0.000001))=1,INDEX('Hoạt động'!$D$5:$D$104,SUMPRODUCT(('Hoạt động'!$A$5:$A$104=C$5)*('Hoạt động'!$B$5:$B$104&lt;=$A18+0.000001)*('Hoạt động'!$C$5:$C$104&gt;$A18+0.000001)*(ROW('Hoạt động'!$A$5:$A$104)-4))),INDEX('Thông tin lớp học'!$G$10:$G$49,SUMPRODUCT(('Thông tin lớp học'!$H$10:$H$49=C$4)*('Thông tin lớp học'!$I$10:$I$49&lt;=$A18+0.000001)*('Thông tin lớp học'!$J$10:$J$49&gt;$A18+0.000001)*(ROW('Thông tin lớp học'!$H$10:$H$49)-9))))))</f>
        <v/>
      </c>
      <c r="D18" s="123" t="str">
        <f t="array" ref="D18">IF(SUMPRODUCT(('Hoạt động'!$A$5:$A$104=D$5)*('Hoạt động'!$B$5:$B$104&lt;=$A18+0.000001)*('Hoạt động'!$C$5:$C$104&gt;$A18+0.000001))+SUMPRODUCT(('Thông tin lớp học'!$H$10:$H$49=D$4)*('Thông tin lớp học'!$I$10:$I$49&lt;=$A18+0.000001)*('Thông tin lớp học'!$J$10:$J$49&gt;$A18+0.000001))=0,"",IF(SUMPRODUCT(('Hoạt động'!$A$5:$A$104=D$5)*('Hoạt động'!$B$5:$B$104&lt;=$A18+0.000001)*('Hoạt động'!$C$5:$C$104&gt;$A18+0.000001))+SUMPRODUCT(('Thông tin lớp học'!$H$10:$H$49=D$4)*('Thông tin lớp học'!$I$10:$I$49&lt;=$A18+0.000001)*('Thông tin lớp học'!$J$10:$J$49&gt;$A18+0.000001))&gt;1,"⚠ Trùng lịch",IF(SUMPRODUCT(('Hoạt động'!$A$5:$A$104=D$5)*('Hoạt động'!$B$5:$B$104&lt;=$A18+0.000001)*('Hoạt động'!$C$5:$C$104&gt;$A18+0.000001))=1,INDEX('Hoạt động'!$D$5:$D$104,SUMPRODUCT(('Hoạt động'!$A$5:$A$104=D$5)*('Hoạt động'!$B$5:$B$104&lt;=$A18+0.000001)*('Hoạt động'!$C$5:$C$104&gt;$A18+0.000001)*(ROW('Hoạt động'!$A$5:$A$104)-4))),INDEX('Thông tin lớp học'!$G$10:$G$49,SUMPRODUCT(('Thông tin lớp học'!$H$10:$H$49=D$4)*('Thông tin lớp học'!$I$10:$I$49&lt;=$A18+0.000001)*('Thông tin lớp học'!$J$10:$J$49&gt;$A18+0.000001)*(ROW('Thông tin lớp học'!$H$10:$H$49)-9))))))</f>
        <v/>
      </c>
      <c r="E18" s="123" t="str">
        <f t="array" ref="E18">IF(SUMPRODUCT(('Hoạt động'!$A$5:$A$104=E$5)*('Hoạt động'!$B$5:$B$104&lt;=$A18+0.000001)*('Hoạt động'!$C$5:$C$104&gt;$A18+0.000001))+SUMPRODUCT(('Thông tin lớp học'!$H$10:$H$49=E$4)*('Thông tin lớp học'!$I$10:$I$49&lt;=$A18+0.000001)*('Thông tin lớp học'!$J$10:$J$49&gt;$A18+0.000001))=0,"",IF(SUMPRODUCT(('Hoạt động'!$A$5:$A$104=E$5)*('Hoạt động'!$B$5:$B$104&lt;=$A18+0.000001)*('Hoạt động'!$C$5:$C$104&gt;$A18+0.000001))+SUMPRODUCT(('Thông tin lớp học'!$H$10:$H$49=E$4)*('Thông tin lớp học'!$I$10:$I$49&lt;=$A18+0.000001)*('Thông tin lớp học'!$J$10:$J$49&gt;$A18+0.000001))&gt;1,"⚠ Trùng lịch",IF(SUMPRODUCT(('Hoạt động'!$A$5:$A$104=E$5)*('Hoạt động'!$B$5:$B$104&lt;=$A18+0.000001)*('Hoạt động'!$C$5:$C$104&gt;$A18+0.000001))=1,INDEX('Hoạt động'!$D$5:$D$104,SUMPRODUCT(('Hoạt động'!$A$5:$A$104=E$5)*('Hoạt động'!$B$5:$B$104&lt;=$A18+0.000001)*('Hoạt động'!$C$5:$C$104&gt;$A18+0.000001)*(ROW('Hoạt động'!$A$5:$A$104)-4))),INDEX('Thông tin lớp học'!$G$10:$G$49,SUMPRODUCT(('Thông tin lớp học'!$H$10:$H$49=E$4)*('Thông tin lớp học'!$I$10:$I$49&lt;=$A18+0.000001)*('Thông tin lớp học'!$J$10:$J$49&gt;$A18+0.000001)*(ROW('Thông tin lớp học'!$H$10:$H$49)-9))))))</f>
        <v/>
      </c>
      <c r="F18" s="123" t="str">
        <f t="array" ref="F18">IF(SUMPRODUCT(('Hoạt động'!$A$5:$A$104=F$5)*('Hoạt động'!$B$5:$B$104&lt;=$A18+0.000001)*('Hoạt động'!$C$5:$C$104&gt;$A18+0.000001))+SUMPRODUCT(('Thông tin lớp học'!$H$10:$H$49=F$4)*('Thông tin lớp học'!$I$10:$I$49&lt;=$A18+0.000001)*('Thông tin lớp học'!$J$10:$J$49&gt;$A18+0.000001))=0,"",IF(SUMPRODUCT(('Hoạt động'!$A$5:$A$104=F$5)*('Hoạt động'!$B$5:$B$104&lt;=$A18+0.000001)*('Hoạt động'!$C$5:$C$104&gt;$A18+0.000001))+SUMPRODUCT(('Thông tin lớp học'!$H$10:$H$49=F$4)*('Thông tin lớp học'!$I$10:$I$49&lt;=$A18+0.000001)*('Thông tin lớp học'!$J$10:$J$49&gt;$A18+0.000001))&gt;1,"⚠ Trùng lịch",IF(SUMPRODUCT(('Hoạt động'!$A$5:$A$104=F$5)*('Hoạt động'!$B$5:$B$104&lt;=$A18+0.000001)*('Hoạt động'!$C$5:$C$104&gt;$A18+0.000001))=1,INDEX('Hoạt động'!$D$5:$D$104,SUMPRODUCT(('Hoạt động'!$A$5:$A$104=F$5)*('Hoạt động'!$B$5:$B$104&lt;=$A18+0.000001)*('Hoạt động'!$C$5:$C$104&gt;$A18+0.000001)*(ROW('Hoạt động'!$A$5:$A$104)-4))),INDEX('Thông tin lớp học'!$G$10:$G$49,SUMPRODUCT(('Thông tin lớp học'!$H$10:$H$49=F$4)*('Thông tin lớp học'!$I$10:$I$49&lt;=$A18+0.000001)*('Thông tin lớp học'!$J$10:$J$49&gt;$A18+0.000001)*(ROW('Thông tin lớp học'!$H$10:$H$49)-9))))))</f>
        <v/>
      </c>
      <c r="G18" s="123" t="str">
        <f t="array" ref="G18">IF(SUMPRODUCT(('Hoạt động'!$A$5:$A$104=G$5)*('Hoạt động'!$B$5:$B$104&lt;=$A18+0.000001)*('Hoạt động'!$C$5:$C$104&gt;$A18+0.000001))+SUMPRODUCT(('Thông tin lớp học'!$H$10:$H$49=G$4)*('Thông tin lớp học'!$I$10:$I$49&lt;=$A18+0.000001)*('Thông tin lớp học'!$J$10:$J$49&gt;$A18+0.000001))=0,"",IF(SUMPRODUCT(('Hoạt động'!$A$5:$A$104=G$5)*('Hoạt động'!$B$5:$B$104&lt;=$A18+0.000001)*('Hoạt động'!$C$5:$C$104&gt;$A18+0.000001))+SUMPRODUCT(('Thông tin lớp học'!$H$10:$H$49=G$4)*('Thông tin lớp học'!$I$10:$I$49&lt;=$A18+0.000001)*('Thông tin lớp học'!$J$10:$J$49&gt;$A18+0.000001))&gt;1,"⚠ Trùng lịch",IF(SUMPRODUCT(('Hoạt động'!$A$5:$A$104=G$5)*('Hoạt động'!$B$5:$B$104&lt;=$A18+0.000001)*('Hoạt động'!$C$5:$C$104&gt;$A18+0.000001))=1,INDEX('Hoạt động'!$D$5:$D$104,SUMPRODUCT(('Hoạt động'!$A$5:$A$104=G$5)*('Hoạt động'!$B$5:$B$104&lt;=$A18+0.000001)*('Hoạt động'!$C$5:$C$104&gt;$A18+0.000001)*(ROW('Hoạt động'!$A$5:$A$104)-4))),INDEX('Thông tin lớp học'!$G$10:$G$49,SUMPRODUCT(('Thông tin lớp học'!$H$10:$H$49=G$4)*('Thông tin lớp học'!$I$10:$I$49&lt;=$A18+0.000001)*('Thông tin lớp học'!$J$10:$J$49&gt;$A18+0.000001)*(ROW('Thông tin lớp học'!$H$10:$H$49)-9))))))</f>
        <v/>
      </c>
      <c r="H18" s="123" t="str">
        <f t="array" ref="H18">IF(SUMPRODUCT(('Hoạt động'!$A$5:$A$104=H$5)*('Hoạt động'!$B$5:$B$104&lt;=$A18+0.000001)*('Hoạt động'!$C$5:$C$104&gt;$A18+0.000001))+SUMPRODUCT(('Thông tin lớp học'!$H$10:$H$49=H$4)*('Thông tin lớp học'!$I$10:$I$49&lt;=$A18+0.000001)*('Thông tin lớp học'!$J$10:$J$49&gt;$A18+0.000001))=0,"",IF(SUMPRODUCT(('Hoạt động'!$A$5:$A$104=H$5)*('Hoạt động'!$B$5:$B$104&lt;=$A18+0.000001)*('Hoạt động'!$C$5:$C$104&gt;$A18+0.000001))+SUMPRODUCT(('Thông tin lớp học'!$H$10:$H$49=H$4)*('Thông tin lớp học'!$I$10:$I$49&lt;=$A18+0.000001)*('Thông tin lớp học'!$J$10:$J$49&gt;$A18+0.000001))&gt;1,"⚠ Trùng lịch",IF(SUMPRODUCT(('Hoạt động'!$A$5:$A$104=H$5)*('Hoạt động'!$B$5:$B$104&lt;=$A18+0.000001)*('Hoạt động'!$C$5:$C$104&gt;$A18+0.000001))=1,INDEX('Hoạt động'!$D$5:$D$104,SUMPRODUCT(('Hoạt động'!$A$5:$A$104=H$5)*('Hoạt động'!$B$5:$B$104&lt;=$A18+0.000001)*('Hoạt động'!$C$5:$C$104&gt;$A18+0.000001)*(ROW('Hoạt động'!$A$5:$A$104)-4))),INDEX('Thông tin lớp học'!$G$10:$G$49,SUMPRODUCT(('Thông tin lớp học'!$H$10:$H$49=H$4)*('Thông tin lớp học'!$I$10:$I$49&lt;=$A18+0.000001)*('Thông tin lớp học'!$J$10:$J$49&gt;$A18+0.000001)*(ROW('Thông tin lớp học'!$H$10:$H$49)-9))))))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6">
        <v>0.520833333333333</v>
      </c>
      <c r="B19" s="123" t="str">
        <f t="array" ref="B19">IF(SUMPRODUCT(('Hoạt động'!$A$5:$A$104=B$5)*('Hoạt động'!$B$5:$B$104&lt;=$A19+0.000001)*('Hoạt động'!$C$5:$C$104&gt;$A19+0.000001))+SUMPRODUCT(('Thông tin lớp học'!$H$10:$H$49=B$4)*('Thông tin lớp học'!$I$10:$I$49&lt;=$A19+0.000001)*('Thông tin lớp học'!$J$10:$J$49&gt;$A19+0.000001))=0,"",IF(SUMPRODUCT(('Hoạt động'!$A$5:$A$104=B$5)*('Hoạt động'!$B$5:$B$104&lt;=$A19+0.000001)*('Hoạt động'!$C$5:$C$104&gt;$A19+0.000001))+SUMPRODUCT(('Thông tin lớp học'!$H$10:$H$49=B$4)*('Thông tin lớp học'!$I$10:$I$49&lt;=$A19+0.000001)*('Thông tin lớp học'!$J$10:$J$49&gt;$A19+0.000001))&gt;1,"⚠ Trùng lịch",IF(SUMPRODUCT(('Hoạt động'!$A$5:$A$104=B$5)*('Hoạt động'!$B$5:$B$104&lt;=$A19+0.000001)*('Hoạt động'!$C$5:$C$104&gt;$A19+0.000001))=1,INDEX('Hoạt động'!$D$5:$D$104,SUMPRODUCT(('Hoạt động'!$A$5:$A$104=B$5)*('Hoạt động'!$B$5:$B$104&lt;=$A19+0.000001)*('Hoạt động'!$C$5:$C$104&gt;$A19+0.000001)*(ROW('Hoạt động'!$A$5:$A$104)-4))),INDEX('Thông tin lớp học'!$G$10:$G$49,SUMPRODUCT(('Thông tin lớp học'!$H$10:$H$49=B$4)*('Thông tin lớp học'!$I$10:$I$49&lt;=$A19+0.000001)*('Thông tin lớp học'!$J$10:$J$49&gt;$A19+0.000001)*(ROW('Thông tin lớp học'!$H$10:$H$49)-9))))))</f>
        <v/>
      </c>
      <c r="C19" s="123" t="str">
        <f t="array" ref="C19">IF(SUMPRODUCT(('Hoạt động'!$A$5:$A$104=C$5)*('Hoạt động'!$B$5:$B$104&lt;=$A19+0.000001)*('Hoạt động'!$C$5:$C$104&gt;$A19+0.000001))+SUMPRODUCT(('Thông tin lớp học'!$H$10:$H$49=C$4)*('Thông tin lớp học'!$I$10:$I$49&lt;=$A19+0.000001)*('Thông tin lớp học'!$J$10:$J$49&gt;$A19+0.000001))=0,"",IF(SUMPRODUCT(('Hoạt động'!$A$5:$A$104=C$5)*('Hoạt động'!$B$5:$B$104&lt;=$A19+0.000001)*('Hoạt động'!$C$5:$C$104&gt;$A19+0.000001))+SUMPRODUCT(('Thông tin lớp học'!$H$10:$H$49=C$4)*('Thông tin lớp học'!$I$10:$I$49&lt;=$A19+0.000001)*('Thông tin lớp học'!$J$10:$J$49&gt;$A19+0.000001))&gt;1,"⚠ Trùng lịch",IF(SUMPRODUCT(('Hoạt động'!$A$5:$A$104=C$5)*('Hoạt động'!$B$5:$B$104&lt;=$A19+0.000001)*('Hoạt động'!$C$5:$C$104&gt;$A19+0.000001))=1,INDEX('Hoạt động'!$D$5:$D$104,SUMPRODUCT(('Hoạt động'!$A$5:$A$104=C$5)*('Hoạt động'!$B$5:$B$104&lt;=$A19+0.000001)*('Hoạt động'!$C$5:$C$104&gt;$A19+0.000001)*(ROW('Hoạt động'!$A$5:$A$104)-4))),INDEX('Thông tin lớp học'!$G$10:$G$49,SUMPRODUCT(('Thông tin lớp học'!$H$10:$H$49=C$4)*('Thông tin lớp học'!$I$10:$I$49&lt;=$A19+0.000001)*('Thông tin lớp học'!$J$10:$J$49&gt;$A19+0.000001)*(ROW('Thông tin lớp học'!$H$10:$H$49)-9))))))</f>
        <v/>
      </c>
      <c r="D19" s="123" t="str">
        <f t="array" ref="D19">IF(SUMPRODUCT(('Hoạt động'!$A$5:$A$104=D$5)*('Hoạt động'!$B$5:$B$104&lt;=$A19+0.000001)*('Hoạt động'!$C$5:$C$104&gt;$A19+0.000001))+SUMPRODUCT(('Thông tin lớp học'!$H$10:$H$49=D$4)*('Thông tin lớp học'!$I$10:$I$49&lt;=$A19+0.000001)*('Thông tin lớp học'!$J$10:$J$49&gt;$A19+0.000001))=0,"",IF(SUMPRODUCT(('Hoạt động'!$A$5:$A$104=D$5)*('Hoạt động'!$B$5:$B$104&lt;=$A19+0.000001)*('Hoạt động'!$C$5:$C$104&gt;$A19+0.000001))+SUMPRODUCT(('Thông tin lớp học'!$H$10:$H$49=D$4)*('Thông tin lớp học'!$I$10:$I$49&lt;=$A19+0.000001)*('Thông tin lớp học'!$J$10:$J$49&gt;$A19+0.000001))&gt;1,"⚠ Trùng lịch",IF(SUMPRODUCT(('Hoạt động'!$A$5:$A$104=D$5)*('Hoạt động'!$B$5:$B$104&lt;=$A19+0.000001)*('Hoạt động'!$C$5:$C$104&gt;$A19+0.000001))=1,INDEX('Hoạt động'!$D$5:$D$104,SUMPRODUCT(('Hoạt động'!$A$5:$A$104=D$5)*('Hoạt động'!$B$5:$B$104&lt;=$A19+0.000001)*('Hoạt động'!$C$5:$C$104&gt;$A19+0.000001)*(ROW('Hoạt động'!$A$5:$A$104)-4))),INDEX('Thông tin lớp học'!$G$10:$G$49,SUMPRODUCT(('Thông tin lớp học'!$H$10:$H$49=D$4)*('Thông tin lớp học'!$I$10:$I$49&lt;=$A19+0.000001)*('Thông tin lớp học'!$J$10:$J$49&gt;$A19+0.000001)*(ROW('Thông tin lớp học'!$H$10:$H$49)-9))))))</f>
        <v/>
      </c>
      <c r="E19" s="123" t="str">
        <f t="array" ref="E19">IF(SUMPRODUCT(('Hoạt động'!$A$5:$A$104=E$5)*('Hoạt động'!$B$5:$B$104&lt;=$A19+0.000001)*('Hoạt động'!$C$5:$C$104&gt;$A19+0.000001))+SUMPRODUCT(('Thông tin lớp học'!$H$10:$H$49=E$4)*('Thông tin lớp học'!$I$10:$I$49&lt;=$A19+0.000001)*('Thông tin lớp học'!$J$10:$J$49&gt;$A19+0.000001))=0,"",IF(SUMPRODUCT(('Hoạt động'!$A$5:$A$104=E$5)*('Hoạt động'!$B$5:$B$104&lt;=$A19+0.000001)*('Hoạt động'!$C$5:$C$104&gt;$A19+0.000001))+SUMPRODUCT(('Thông tin lớp học'!$H$10:$H$49=E$4)*('Thông tin lớp học'!$I$10:$I$49&lt;=$A19+0.000001)*('Thông tin lớp học'!$J$10:$J$49&gt;$A19+0.000001))&gt;1,"⚠ Trùng lịch",IF(SUMPRODUCT(('Hoạt động'!$A$5:$A$104=E$5)*('Hoạt động'!$B$5:$B$104&lt;=$A19+0.000001)*('Hoạt động'!$C$5:$C$104&gt;$A19+0.000001))=1,INDEX('Hoạt động'!$D$5:$D$104,SUMPRODUCT(('Hoạt động'!$A$5:$A$104=E$5)*('Hoạt động'!$B$5:$B$104&lt;=$A19+0.000001)*('Hoạt động'!$C$5:$C$104&gt;$A19+0.000001)*(ROW('Hoạt động'!$A$5:$A$104)-4))),INDEX('Thông tin lớp học'!$G$10:$G$49,SUMPRODUCT(('Thông tin lớp học'!$H$10:$H$49=E$4)*('Thông tin lớp học'!$I$10:$I$49&lt;=$A19+0.000001)*('Thông tin lớp học'!$J$10:$J$49&gt;$A19+0.000001)*(ROW('Thông tin lớp học'!$H$10:$H$49)-9))))))</f>
        <v/>
      </c>
      <c r="F19" s="123" t="str">
        <f t="array" ref="F19">IF(SUMPRODUCT(('Hoạt động'!$A$5:$A$104=F$5)*('Hoạt động'!$B$5:$B$104&lt;=$A19+0.000001)*('Hoạt động'!$C$5:$C$104&gt;$A19+0.000001))+SUMPRODUCT(('Thông tin lớp học'!$H$10:$H$49=F$4)*('Thông tin lớp học'!$I$10:$I$49&lt;=$A19+0.000001)*('Thông tin lớp học'!$J$10:$J$49&gt;$A19+0.000001))=0,"",IF(SUMPRODUCT(('Hoạt động'!$A$5:$A$104=F$5)*('Hoạt động'!$B$5:$B$104&lt;=$A19+0.000001)*('Hoạt động'!$C$5:$C$104&gt;$A19+0.000001))+SUMPRODUCT(('Thông tin lớp học'!$H$10:$H$49=F$4)*('Thông tin lớp học'!$I$10:$I$49&lt;=$A19+0.000001)*('Thông tin lớp học'!$J$10:$J$49&gt;$A19+0.000001))&gt;1,"⚠ Trùng lịch",IF(SUMPRODUCT(('Hoạt động'!$A$5:$A$104=F$5)*('Hoạt động'!$B$5:$B$104&lt;=$A19+0.000001)*('Hoạt động'!$C$5:$C$104&gt;$A19+0.000001))=1,INDEX('Hoạt động'!$D$5:$D$104,SUMPRODUCT(('Hoạt động'!$A$5:$A$104=F$5)*('Hoạt động'!$B$5:$B$104&lt;=$A19+0.000001)*('Hoạt động'!$C$5:$C$104&gt;$A19+0.000001)*(ROW('Hoạt động'!$A$5:$A$104)-4))),INDEX('Thông tin lớp học'!$G$10:$G$49,SUMPRODUCT(('Thông tin lớp học'!$H$10:$H$49=F$4)*('Thông tin lớp học'!$I$10:$I$49&lt;=$A19+0.000001)*('Thông tin lớp học'!$J$10:$J$49&gt;$A19+0.000001)*(ROW('Thông tin lớp học'!$H$10:$H$49)-9))))))</f>
        <v/>
      </c>
      <c r="G19" s="123" t="str">
        <f t="array" ref="G19">IF(SUMPRODUCT(('Hoạt động'!$A$5:$A$104=G$5)*('Hoạt động'!$B$5:$B$104&lt;=$A19+0.000001)*('Hoạt động'!$C$5:$C$104&gt;$A19+0.000001))+SUMPRODUCT(('Thông tin lớp học'!$H$10:$H$49=G$4)*('Thông tin lớp học'!$I$10:$I$49&lt;=$A19+0.000001)*('Thông tin lớp học'!$J$10:$J$49&gt;$A19+0.000001))=0,"",IF(SUMPRODUCT(('Hoạt động'!$A$5:$A$104=G$5)*('Hoạt động'!$B$5:$B$104&lt;=$A19+0.000001)*('Hoạt động'!$C$5:$C$104&gt;$A19+0.000001))+SUMPRODUCT(('Thông tin lớp học'!$H$10:$H$49=G$4)*('Thông tin lớp học'!$I$10:$I$49&lt;=$A19+0.000001)*('Thông tin lớp học'!$J$10:$J$49&gt;$A19+0.000001))&gt;1,"⚠ Trùng lịch",IF(SUMPRODUCT(('Hoạt động'!$A$5:$A$104=G$5)*('Hoạt động'!$B$5:$B$104&lt;=$A19+0.000001)*('Hoạt động'!$C$5:$C$104&gt;$A19+0.000001))=1,INDEX('Hoạt động'!$D$5:$D$104,SUMPRODUCT(('Hoạt động'!$A$5:$A$104=G$5)*('Hoạt động'!$B$5:$B$104&lt;=$A19+0.000001)*('Hoạt động'!$C$5:$C$104&gt;$A19+0.000001)*(ROW('Hoạt động'!$A$5:$A$104)-4))),INDEX('Thông tin lớp học'!$G$10:$G$49,SUMPRODUCT(('Thông tin lớp học'!$H$10:$H$49=G$4)*('Thông tin lớp học'!$I$10:$I$49&lt;=$A19+0.000001)*('Thông tin lớp học'!$J$10:$J$49&gt;$A19+0.000001)*(ROW('Thông tin lớp học'!$H$10:$H$49)-9))))))</f>
        <v/>
      </c>
      <c r="H19" s="123" t="str">
        <f t="array" ref="H19">IF(SUMPRODUCT(('Hoạt động'!$A$5:$A$104=H$5)*('Hoạt động'!$B$5:$B$104&lt;=$A19+0.000001)*('Hoạt động'!$C$5:$C$104&gt;$A19+0.000001))+SUMPRODUCT(('Thông tin lớp học'!$H$10:$H$49=H$4)*('Thông tin lớp học'!$I$10:$I$49&lt;=$A19+0.000001)*('Thông tin lớp học'!$J$10:$J$49&gt;$A19+0.000001))=0,"",IF(SUMPRODUCT(('Hoạt động'!$A$5:$A$104=H$5)*('Hoạt động'!$B$5:$B$104&lt;=$A19+0.000001)*('Hoạt động'!$C$5:$C$104&gt;$A19+0.000001))+SUMPRODUCT(('Thông tin lớp học'!$H$10:$H$49=H$4)*('Thông tin lớp học'!$I$10:$I$49&lt;=$A19+0.000001)*('Thông tin lớp học'!$J$10:$J$49&gt;$A19+0.000001))&gt;1,"⚠ Trùng lịch",IF(SUMPRODUCT(('Hoạt động'!$A$5:$A$104=H$5)*('Hoạt động'!$B$5:$B$104&lt;=$A19+0.000001)*('Hoạt động'!$C$5:$C$104&gt;$A19+0.000001))=1,INDEX('Hoạt động'!$D$5:$D$104,SUMPRODUCT(('Hoạt động'!$A$5:$A$104=H$5)*('Hoạt động'!$B$5:$B$104&lt;=$A19+0.000001)*('Hoạt động'!$C$5:$C$104&gt;$A19+0.000001)*(ROW('Hoạt động'!$A$5:$A$104)-4))),INDEX('Thông tin lớp học'!$G$10:$G$49,SUMPRODUCT(('Thông tin lớp học'!$H$10:$H$49=H$4)*('Thông tin lớp học'!$I$10:$I$49&lt;=$A19+0.000001)*('Thông tin lớp học'!$J$10:$J$49&gt;$A19+0.000001)*(ROW('Thông tin lớp học'!$H$10:$H$49)-9))))))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6">
        <v>0.541666666666667</v>
      </c>
      <c r="B20" s="123" t="str">
        <f t="array" ref="B20">IF(SUMPRODUCT(('Hoạt động'!$A$5:$A$104=B$5)*('Hoạt động'!$B$5:$B$104&lt;=$A20+0.000001)*('Hoạt động'!$C$5:$C$104&gt;$A20+0.000001))+SUMPRODUCT(('Thông tin lớp học'!$H$10:$H$49=B$4)*('Thông tin lớp học'!$I$10:$I$49&lt;=$A20+0.000001)*('Thông tin lớp học'!$J$10:$J$49&gt;$A20+0.000001))=0,"",IF(SUMPRODUCT(('Hoạt động'!$A$5:$A$104=B$5)*('Hoạt động'!$B$5:$B$104&lt;=$A20+0.000001)*('Hoạt động'!$C$5:$C$104&gt;$A20+0.000001))+SUMPRODUCT(('Thông tin lớp học'!$H$10:$H$49=B$4)*('Thông tin lớp học'!$I$10:$I$49&lt;=$A20+0.000001)*('Thông tin lớp học'!$J$10:$J$49&gt;$A20+0.000001))&gt;1,"⚠ Trùng lịch",IF(SUMPRODUCT(('Hoạt động'!$A$5:$A$104=B$5)*('Hoạt động'!$B$5:$B$104&lt;=$A20+0.000001)*('Hoạt động'!$C$5:$C$104&gt;$A20+0.000001))=1,INDEX('Hoạt động'!$D$5:$D$104,SUMPRODUCT(('Hoạt động'!$A$5:$A$104=B$5)*('Hoạt động'!$B$5:$B$104&lt;=$A20+0.000001)*('Hoạt động'!$C$5:$C$104&gt;$A20+0.000001)*(ROW('Hoạt động'!$A$5:$A$104)-4))),INDEX('Thông tin lớp học'!$G$10:$G$49,SUMPRODUCT(('Thông tin lớp học'!$H$10:$H$49=B$4)*('Thông tin lớp học'!$I$10:$I$49&lt;=$A20+0.000001)*('Thông tin lớp học'!$J$10:$J$49&gt;$A20+0.000001)*(ROW('Thông tin lớp học'!$H$10:$H$49)-9))))))</f>
        <v>Tâm lý học</v>
      </c>
      <c r="C20" s="123" t="str">
        <f t="array" ref="C20">IF(SUMPRODUCT(('Hoạt động'!$A$5:$A$104=C$5)*('Hoạt động'!$B$5:$B$104&lt;=$A20+0.000001)*('Hoạt động'!$C$5:$C$104&gt;$A20+0.000001))+SUMPRODUCT(('Thông tin lớp học'!$H$10:$H$49=C$4)*('Thông tin lớp học'!$I$10:$I$49&lt;=$A20+0.000001)*('Thông tin lớp học'!$J$10:$J$49&gt;$A20+0.000001))=0,"",IF(SUMPRODUCT(('Hoạt động'!$A$5:$A$104=C$5)*('Hoạt động'!$B$5:$B$104&lt;=$A20+0.000001)*('Hoạt động'!$C$5:$C$104&gt;$A20+0.000001))+SUMPRODUCT(('Thông tin lớp học'!$H$10:$H$49=C$4)*('Thông tin lớp học'!$I$10:$I$49&lt;=$A20+0.000001)*('Thông tin lớp học'!$J$10:$J$49&gt;$A20+0.000001))&gt;1,"⚠ Trùng lịch",IF(SUMPRODUCT(('Hoạt động'!$A$5:$A$104=C$5)*('Hoạt động'!$B$5:$B$104&lt;=$A20+0.000001)*('Hoạt động'!$C$5:$C$104&gt;$A20+0.000001))=1,INDEX('Hoạt động'!$D$5:$D$104,SUMPRODUCT(('Hoạt động'!$A$5:$A$104=C$5)*('Hoạt động'!$B$5:$B$104&lt;=$A20+0.000001)*('Hoạt động'!$C$5:$C$104&gt;$A20+0.000001)*(ROW('Hoạt động'!$A$5:$A$104)-4))),INDEX('Thông tin lớp học'!$G$10:$G$49,SUMPRODUCT(('Thông tin lớp học'!$H$10:$H$49=C$4)*('Thông tin lớp học'!$I$10:$I$49&lt;=$A20+0.000001)*('Thông tin lớp học'!$J$10:$J$49&gt;$A20+0.000001)*(ROW('Thông tin lớp học'!$H$10:$H$49)-9))))))</f>
        <v/>
      </c>
      <c r="D20" s="123" t="str">
        <f t="array" ref="D20">IF(SUMPRODUCT(('Hoạt động'!$A$5:$A$104=D$5)*('Hoạt động'!$B$5:$B$104&lt;=$A20+0.000001)*('Hoạt động'!$C$5:$C$104&gt;$A20+0.000001))+SUMPRODUCT(('Thông tin lớp học'!$H$10:$H$49=D$4)*('Thông tin lớp học'!$I$10:$I$49&lt;=$A20+0.000001)*('Thông tin lớp học'!$J$10:$J$49&gt;$A20+0.000001))=0,"",IF(SUMPRODUCT(('Hoạt động'!$A$5:$A$104=D$5)*('Hoạt động'!$B$5:$B$104&lt;=$A20+0.000001)*('Hoạt động'!$C$5:$C$104&gt;$A20+0.000001))+SUMPRODUCT(('Thông tin lớp học'!$H$10:$H$49=D$4)*('Thông tin lớp học'!$I$10:$I$49&lt;=$A20+0.000001)*('Thông tin lớp học'!$J$10:$J$49&gt;$A20+0.000001))&gt;1,"⚠ Trùng lịch",IF(SUMPRODUCT(('Hoạt động'!$A$5:$A$104=D$5)*('Hoạt động'!$B$5:$B$104&lt;=$A20+0.000001)*('Hoạt động'!$C$5:$C$104&gt;$A20+0.000001))=1,INDEX('Hoạt động'!$D$5:$D$104,SUMPRODUCT(('Hoạt động'!$A$5:$A$104=D$5)*('Hoạt động'!$B$5:$B$104&lt;=$A20+0.000001)*('Hoạt động'!$C$5:$C$104&gt;$A20+0.000001)*(ROW('Hoạt động'!$A$5:$A$104)-4))),INDEX('Thông tin lớp học'!$G$10:$G$49,SUMPRODUCT(('Thông tin lớp học'!$H$10:$H$49=D$4)*('Thông tin lớp học'!$I$10:$I$49&lt;=$A20+0.000001)*('Thông tin lớp học'!$J$10:$J$49&gt;$A20+0.000001)*(ROW('Thông tin lớp học'!$H$10:$H$49)-9))))))</f>
        <v/>
      </c>
      <c r="E20" s="123" t="str">
        <f t="array" ref="E20">IF(SUMPRODUCT(('Hoạt động'!$A$5:$A$104=E$5)*('Hoạt động'!$B$5:$B$104&lt;=$A20+0.000001)*('Hoạt động'!$C$5:$C$104&gt;$A20+0.000001))+SUMPRODUCT(('Thông tin lớp học'!$H$10:$H$49=E$4)*('Thông tin lớp học'!$I$10:$I$49&lt;=$A20+0.000001)*('Thông tin lớp học'!$J$10:$J$49&gt;$A20+0.000001))=0,"",IF(SUMPRODUCT(('Hoạt động'!$A$5:$A$104=E$5)*('Hoạt động'!$B$5:$B$104&lt;=$A20+0.000001)*('Hoạt động'!$C$5:$C$104&gt;$A20+0.000001))+SUMPRODUCT(('Thông tin lớp học'!$H$10:$H$49=E$4)*('Thông tin lớp học'!$I$10:$I$49&lt;=$A20+0.000001)*('Thông tin lớp học'!$J$10:$J$49&gt;$A20+0.000001))&gt;1,"⚠ Trùng lịch",IF(SUMPRODUCT(('Hoạt động'!$A$5:$A$104=E$5)*('Hoạt động'!$B$5:$B$104&lt;=$A20+0.000001)*('Hoạt động'!$C$5:$C$104&gt;$A20+0.000001))=1,INDEX('Hoạt động'!$D$5:$D$104,SUMPRODUCT(('Hoạt động'!$A$5:$A$104=E$5)*('Hoạt động'!$B$5:$B$104&lt;=$A20+0.000001)*('Hoạt động'!$C$5:$C$104&gt;$A20+0.000001)*(ROW('Hoạt động'!$A$5:$A$104)-4))),INDEX('Thông tin lớp học'!$G$10:$G$49,SUMPRODUCT(('Thông tin lớp học'!$H$10:$H$49=E$4)*('Thông tin lớp học'!$I$10:$I$49&lt;=$A20+0.000001)*('Thông tin lớp học'!$J$10:$J$49&gt;$A20+0.000001)*(ROW('Thông tin lớp học'!$H$10:$H$49)-9))))))</f>
        <v/>
      </c>
      <c r="F20" s="123" t="str">
        <f t="array" ref="F20">IF(SUMPRODUCT(('Hoạt động'!$A$5:$A$104=F$5)*('Hoạt động'!$B$5:$B$104&lt;=$A20+0.000001)*('Hoạt động'!$C$5:$C$104&gt;$A20+0.000001))+SUMPRODUCT(('Thông tin lớp học'!$H$10:$H$49=F$4)*('Thông tin lớp học'!$I$10:$I$49&lt;=$A20+0.000001)*('Thông tin lớp học'!$J$10:$J$49&gt;$A20+0.000001))=0,"",IF(SUMPRODUCT(('Hoạt động'!$A$5:$A$104=F$5)*('Hoạt động'!$B$5:$B$104&lt;=$A20+0.000001)*('Hoạt động'!$C$5:$C$104&gt;$A20+0.000001))+SUMPRODUCT(('Thông tin lớp học'!$H$10:$H$49=F$4)*('Thông tin lớp học'!$I$10:$I$49&lt;=$A20+0.000001)*('Thông tin lớp học'!$J$10:$J$49&gt;$A20+0.000001))&gt;1,"⚠ Trùng lịch",IF(SUMPRODUCT(('Hoạt động'!$A$5:$A$104=F$5)*('Hoạt động'!$B$5:$B$104&lt;=$A20+0.000001)*('Hoạt động'!$C$5:$C$104&gt;$A20+0.000001))=1,INDEX('Hoạt động'!$D$5:$D$104,SUMPRODUCT(('Hoạt động'!$A$5:$A$104=F$5)*('Hoạt động'!$B$5:$B$104&lt;=$A20+0.000001)*('Hoạt động'!$C$5:$C$104&gt;$A20+0.000001)*(ROW('Hoạt động'!$A$5:$A$104)-4))),INDEX('Thông tin lớp học'!$G$10:$G$49,SUMPRODUCT(('Thông tin lớp học'!$H$10:$H$49=F$4)*('Thông tin lớp học'!$I$10:$I$49&lt;=$A20+0.000001)*('Thông tin lớp học'!$J$10:$J$49&gt;$A20+0.000001)*(ROW('Thông tin lớp học'!$H$10:$H$49)-9))))))</f>
        <v/>
      </c>
      <c r="G20" s="123" t="str">
        <f t="array" ref="G20">IF(SUMPRODUCT(('Hoạt động'!$A$5:$A$104=G$5)*('Hoạt động'!$B$5:$B$104&lt;=$A20+0.000001)*('Hoạt động'!$C$5:$C$104&gt;$A20+0.000001))+SUMPRODUCT(('Thông tin lớp học'!$H$10:$H$49=G$4)*('Thông tin lớp học'!$I$10:$I$49&lt;=$A20+0.000001)*('Thông tin lớp học'!$J$10:$J$49&gt;$A20+0.000001))=0,"",IF(SUMPRODUCT(('Hoạt động'!$A$5:$A$104=G$5)*('Hoạt động'!$B$5:$B$104&lt;=$A20+0.000001)*('Hoạt động'!$C$5:$C$104&gt;$A20+0.000001))+SUMPRODUCT(('Thông tin lớp học'!$H$10:$H$49=G$4)*('Thông tin lớp học'!$I$10:$I$49&lt;=$A20+0.000001)*('Thông tin lớp học'!$J$10:$J$49&gt;$A20+0.000001))&gt;1,"⚠ Trùng lịch",IF(SUMPRODUCT(('Hoạt động'!$A$5:$A$104=G$5)*('Hoạt động'!$B$5:$B$104&lt;=$A20+0.000001)*('Hoạt động'!$C$5:$C$104&gt;$A20+0.000001))=1,INDEX('Hoạt động'!$D$5:$D$104,SUMPRODUCT(('Hoạt động'!$A$5:$A$104=G$5)*('Hoạt động'!$B$5:$B$104&lt;=$A20+0.000001)*('Hoạt động'!$C$5:$C$104&gt;$A20+0.000001)*(ROW('Hoạt động'!$A$5:$A$104)-4))),INDEX('Thông tin lớp học'!$G$10:$G$49,SUMPRODUCT(('Thông tin lớp học'!$H$10:$H$49=G$4)*('Thông tin lớp học'!$I$10:$I$49&lt;=$A20+0.000001)*('Thông tin lớp học'!$J$10:$J$49&gt;$A20+0.000001)*(ROW('Thông tin lớp học'!$H$10:$H$49)-9))))))</f>
        <v/>
      </c>
      <c r="H20" s="123" t="str">
        <f t="array" ref="H20">IF(SUMPRODUCT(('Hoạt động'!$A$5:$A$104=H$5)*('Hoạt động'!$B$5:$B$104&lt;=$A20+0.000001)*('Hoạt động'!$C$5:$C$104&gt;$A20+0.000001))+SUMPRODUCT(('Thông tin lớp học'!$H$10:$H$49=H$4)*('Thông tin lớp học'!$I$10:$I$49&lt;=$A20+0.000001)*('Thông tin lớp học'!$J$10:$J$49&gt;$A20+0.000001))=0,"",IF(SUMPRODUCT(('Hoạt động'!$A$5:$A$104=H$5)*('Hoạt động'!$B$5:$B$104&lt;=$A20+0.000001)*('Hoạt động'!$C$5:$C$104&gt;$A20+0.000001))+SUMPRODUCT(('Thông tin lớp học'!$H$10:$H$49=H$4)*('Thông tin lớp học'!$I$10:$I$49&lt;=$A20+0.000001)*('Thông tin lớp học'!$J$10:$J$49&gt;$A20+0.000001))&gt;1,"⚠ Trùng lịch",IF(SUMPRODUCT(('Hoạt động'!$A$5:$A$104=H$5)*('Hoạt động'!$B$5:$B$104&lt;=$A20+0.000001)*('Hoạt động'!$C$5:$C$104&gt;$A20+0.000001))=1,INDEX('Hoạt động'!$D$5:$D$104,SUMPRODUCT(('Hoạt động'!$A$5:$A$104=H$5)*('Hoạt động'!$B$5:$B$104&lt;=$A20+0.000001)*('Hoạt động'!$C$5:$C$104&gt;$A20+0.000001)*(ROW('Hoạt động'!$A$5:$A$104)-4))),INDEX('Thông tin lớp học'!$G$10:$G$49,SUMPRODUCT(('Thông tin lớp học'!$H$10:$H$49=H$4)*('Thông tin lớp học'!$I$10:$I$49&lt;=$A20+0.000001)*('Thông tin lớp học'!$J$10:$J$49&gt;$A20+0.000001)*(ROW('Thông tin lớp học'!$H$10:$H$49)-9))))))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16">
        <v>0.5625</v>
      </c>
      <c r="B21" s="123" t="str">
        <f t="array" ref="B21">IF(SUMPRODUCT(('Hoạt động'!$A$5:$A$104=B$5)*('Hoạt động'!$B$5:$B$104&lt;=$A21+0.000001)*('Hoạt động'!$C$5:$C$104&gt;$A21+0.000001))+SUMPRODUCT(('Thông tin lớp học'!$H$10:$H$49=B$4)*('Thông tin lớp học'!$I$10:$I$49&lt;=$A21+0.000001)*('Thông tin lớp học'!$J$10:$J$49&gt;$A21+0.000001))=0,"",IF(SUMPRODUCT(('Hoạt động'!$A$5:$A$104=B$5)*('Hoạt động'!$B$5:$B$104&lt;=$A21+0.000001)*('Hoạt động'!$C$5:$C$104&gt;$A21+0.000001))+SUMPRODUCT(('Thông tin lớp học'!$H$10:$H$49=B$4)*('Thông tin lớp học'!$I$10:$I$49&lt;=$A21+0.000001)*('Thông tin lớp học'!$J$10:$J$49&gt;$A21+0.000001))&gt;1,"⚠ Trùng lịch",IF(SUMPRODUCT(('Hoạt động'!$A$5:$A$104=B$5)*('Hoạt động'!$B$5:$B$104&lt;=$A21+0.000001)*('Hoạt động'!$C$5:$C$104&gt;$A21+0.000001))=1,INDEX('Hoạt động'!$D$5:$D$104,SUMPRODUCT(('Hoạt động'!$A$5:$A$104=B$5)*('Hoạt động'!$B$5:$B$104&lt;=$A21+0.000001)*('Hoạt động'!$C$5:$C$104&gt;$A21+0.000001)*(ROW('Hoạt động'!$A$5:$A$104)-4))),INDEX('Thông tin lớp học'!$G$10:$G$49,SUMPRODUCT(('Thông tin lớp học'!$H$10:$H$49=B$4)*('Thông tin lớp học'!$I$10:$I$49&lt;=$A21+0.000001)*('Thông tin lớp học'!$J$10:$J$49&gt;$A21+0.000001)*(ROW('Thông tin lớp học'!$H$10:$H$49)-9))))))</f>
        <v>Tâm lý học</v>
      </c>
      <c r="C21" s="123" t="str">
        <f t="array" ref="C21">IF(SUMPRODUCT(('Hoạt động'!$A$5:$A$104=C$5)*('Hoạt động'!$B$5:$B$104&lt;=$A21+0.000001)*('Hoạt động'!$C$5:$C$104&gt;$A21+0.000001))+SUMPRODUCT(('Thông tin lớp học'!$H$10:$H$49=C$4)*('Thông tin lớp học'!$I$10:$I$49&lt;=$A21+0.000001)*('Thông tin lớp học'!$J$10:$J$49&gt;$A21+0.000001))=0,"",IF(SUMPRODUCT(('Hoạt động'!$A$5:$A$104=C$5)*('Hoạt động'!$B$5:$B$104&lt;=$A21+0.000001)*('Hoạt động'!$C$5:$C$104&gt;$A21+0.000001))+SUMPRODUCT(('Thông tin lớp học'!$H$10:$H$49=C$4)*('Thông tin lớp học'!$I$10:$I$49&lt;=$A21+0.000001)*('Thông tin lớp học'!$J$10:$J$49&gt;$A21+0.000001))&gt;1,"⚠ Trùng lịch",IF(SUMPRODUCT(('Hoạt động'!$A$5:$A$104=C$5)*('Hoạt động'!$B$5:$B$104&lt;=$A21+0.000001)*('Hoạt động'!$C$5:$C$104&gt;$A21+0.000001))=1,INDEX('Hoạt động'!$D$5:$D$104,SUMPRODUCT(('Hoạt động'!$A$5:$A$104=C$5)*('Hoạt động'!$B$5:$B$104&lt;=$A21+0.000001)*('Hoạt động'!$C$5:$C$104&gt;$A21+0.000001)*(ROW('Hoạt động'!$A$5:$A$104)-4))),INDEX('Thông tin lớp học'!$G$10:$G$49,SUMPRODUCT(('Thông tin lớp học'!$H$10:$H$49=C$4)*('Thông tin lớp học'!$I$10:$I$49&lt;=$A21+0.000001)*('Thông tin lớp học'!$J$10:$J$49&gt;$A21+0.000001)*(ROW('Thông tin lớp học'!$H$10:$H$49)-9))))))</f>
        <v/>
      </c>
      <c r="D21" s="123" t="str">
        <f t="array" ref="D21">IF(SUMPRODUCT(('Hoạt động'!$A$5:$A$104=D$5)*('Hoạt động'!$B$5:$B$104&lt;=$A21+0.000001)*('Hoạt động'!$C$5:$C$104&gt;$A21+0.000001))+SUMPRODUCT(('Thông tin lớp học'!$H$10:$H$49=D$4)*('Thông tin lớp học'!$I$10:$I$49&lt;=$A21+0.000001)*('Thông tin lớp học'!$J$10:$J$49&gt;$A21+0.000001))=0,"",IF(SUMPRODUCT(('Hoạt động'!$A$5:$A$104=D$5)*('Hoạt động'!$B$5:$B$104&lt;=$A21+0.000001)*('Hoạt động'!$C$5:$C$104&gt;$A21+0.000001))+SUMPRODUCT(('Thông tin lớp học'!$H$10:$H$49=D$4)*('Thông tin lớp học'!$I$10:$I$49&lt;=$A21+0.000001)*('Thông tin lớp học'!$J$10:$J$49&gt;$A21+0.000001))&gt;1,"⚠ Trùng lịch",IF(SUMPRODUCT(('Hoạt động'!$A$5:$A$104=D$5)*('Hoạt động'!$B$5:$B$104&lt;=$A21+0.000001)*('Hoạt động'!$C$5:$C$104&gt;$A21+0.000001))=1,INDEX('Hoạt động'!$D$5:$D$104,SUMPRODUCT(('Hoạt động'!$A$5:$A$104=D$5)*('Hoạt động'!$B$5:$B$104&lt;=$A21+0.000001)*('Hoạt động'!$C$5:$C$104&gt;$A21+0.000001)*(ROW('Hoạt động'!$A$5:$A$104)-4))),INDEX('Thông tin lớp học'!$G$10:$G$49,SUMPRODUCT(('Thông tin lớp học'!$H$10:$H$49=D$4)*('Thông tin lớp học'!$I$10:$I$49&lt;=$A21+0.000001)*('Thông tin lớp học'!$J$10:$J$49&gt;$A21+0.000001)*(ROW('Thông tin lớp học'!$H$10:$H$49)-9))))))</f>
        <v>Triết học Mác-Lênin</v>
      </c>
      <c r="E21" s="123" t="str">
        <f t="array" ref="E21">IF(SUMPRODUCT(('Hoạt động'!$A$5:$A$104=E$5)*('Hoạt động'!$B$5:$B$104&lt;=$A21+0.000001)*('Hoạt động'!$C$5:$C$104&gt;$A21+0.000001))+SUMPRODUCT(('Thông tin lớp học'!$H$10:$H$49=E$4)*('Thông tin lớp học'!$I$10:$I$49&lt;=$A21+0.000001)*('Thông tin lớp học'!$J$10:$J$49&gt;$A21+0.000001))=0,"",IF(SUMPRODUCT(('Hoạt động'!$A$5:$A$104=E$5)*('Hoạt động'!$B$5:$B$104&lt;=$A21+0.000001)*('Hoạt động'!$C$5:$C$104&gt;$A21+0.000001))+SUMPRODUCT(('Thông tin lớp học'!$H$10:$H$49=E$4)*('Thông tin lớp học'!$I$10:$I$49&lt;=$A21+0.000001)*('Thông tin lớp học'!$J$10:$J$49&gt;$A21+0.000001))&gt;1,"⚠ Trùng lịch",IF(SUMPRODUCT(('Hoạt động'!$A$5:$A$104=E$5)*('Hoạt động'!$B$5:$B$104&lt;=$A21+0.000001)*('Hoạt động'!$C$5:$C$104&gt;$A21+0.000001))=1,INDEX('Hoạt động'!$D$5:$D$104,SUMPRODUCT(('Hoạt động'!$A$5:$A$104=E$5)*('Hoạt động'!$B$5:$B$104&lt;=$A21+0.000001)*('Hoạt động'!$C$5:$C$104&gt;$A21+0.000001)*(ROW('Hoạt động'!$A$5:$A$104)-4))),INDEX('Thông tin lớp học'!$G$10:$G$49,SUMPRODUCT(('Thông tin lớp học'!$H$10:$H$49=E$4)*('Thông tin lớp học'!$I$10:$I$49&lt;=$A21+0.000001)*('Thông tin lớp học'!$J$10:$J$49&gt;$A21+0.000001)*(ROW('Thông tin lớp học'!$H$10:$H$49)-9))))))</f>
        <v/>
      </c>
      <c r="F21" s="123" t="str">
        <f t="array" ref="F21">IF(SUMPRODUCT(('Hoạt động'!$A$5:$A$104=F$5)*('Hoạt động'!$B$5:$B$104&lt;=$A21+0.000001)*('Hoạt động'!$C$5:$C$104&gt;$A21+0.000001))+SUMPRODUCT(('Thông tin lớp học'!$H$10:$H$49=F$4)*('Thông tin lớp học'!$I$10:$I$49&lt;=$A21+0.000001)*('Thông tin lớp học'!$J$10:$J$49&gt;$A21+0.000001))=0,"",IF(SUMPRODUCT(('Hoạt động'!$A$5:$A$104=F$5)*('Hoạt động'!$B$5:$B$104&lt;=$A21+0.000001)*('Hoạt động'!$C$5:$C$104&gt;$A21+0.000001))+SUMPRODUCT(('Thông tin lớp học'!$H$10:$H$49=F$4)*('Thông tin lớp học'!$I$10:$I$49&lt;=$A21+0.000001)*('Thông tin lớp học'!$J$10:$J$49&gt;$A21+0.000001))&gt;1,"⚠ Trùng lịch",IF(SUMPRODUCT(('Hoạt động'!$A$5:$A$104=F$5)*('Hoạt động'!$B$5:$B$104&lt;=$A21+0.000001)*('Hoạt động'!$C$5:$C$104&gt;$A21+0.000001))=1,INDEX('Hoạt động'!$D$5:$D$104,SUMPRODUCT(('Hoạt động'!$A$5:$A$104=F$5)*('Hoạt động'!$B$5:$B$104&lt;=$A21+0.000001)*('Hoạt động'!$C$5:$C$104&gt;$A21+0.000001)*(ROW('Hoạt động'!$A$5:$A$104)-4))),INDEX('Thông tin lớp học'!$G$10:$G$49,SUMPRODUCT(('Thông tin lớp học'!$H$10:$H$49=F$4)*('Thông tin lớp học'!$I$10:$I$49&lt;=$A21+0.000001)*('Thông tin lớp học'!$J$10:$J$49&gt;$A21+0.000001)*(ROW('Thông tin lớp học'!$H$10:$H$49)-9))))))</f>
        <v/>
      </c>
      <c r="G21" s="123" t="str">
        <f t="array" ref="G21">IF(SUMPRODUCT(('Hoạt động'!$A$5:$A$104=G$5)*('Hoạt động'!$B$5:$B$104&lt;=$A21+0.000001)*('Hoạt động'!$C$5:$C$104&gt;$A21+0.000001))+SUMPRODUCT(('Thông tin lớp học'!$H$10:$H$49=G$4)*('Thông tin lớp học'!$I$10:$I$49&lt;=$A21+0.000001)*('Thông tin lớp học'!$J$10:$J$49&gt;$A21+0.000001))=0,"",IF(SUMPRODUCT(('Hoạt động'!$A$5:$A$104=G$5)*('Hoạt động'!$B$5:$B$104&lt;=$A21+0.000001)*('Hoạt động'!$C$5:$C$104&gt;$A21+0.000001))+SUMPRODUCT(('Thông tin lớp học'!$H$10:$H$49=G$4)*('Thông tin lớp học'!$I$10:$I$49&lt;=$A21+0.000001)*('Thông tin lớp học'!$J$10:$J$49&gt;$A21+0.000001))&gt;1,"⚠ Trùng lịch",IF(SUMPRODUCT(('Hoạt động'!$A$5:$A$104=G$5)*('Hoạt động'!$B$5:$B$104&lt;=$A21+0.000001)*('Hoạt động'!$C$5:$C$104&gt;$A21+0.000001))=1,INDEX('Hoạt động'!$D$5:$D$104,SUMPRODUCT(('Hoạt động'!$A$5:$A$104=G$5)*('Hoạt động'!$B$5:$B$104&lt;=$A21+0.000001)*('Hoạt động'!$C$5:$C$104&gt;$A21+0.000001)*(ROW('Hoạt động'!$A$5:$A$104)-4))),INDEX('Thông tin lớp học'!$G$10:$G$49,SUMPRODUCT(('Thông tin lớp học'!$H$10:$H$49=G$4)*('Thông tin lớp học'!$I$10:$I$49&lt;=$A21+0.000001)*('Thông tin lớp học'!$J$10:$J$49&gt;$A21+0.000001)*(ROW('Thông tin lớp học'!$H$10:$H$49)-9))))))</f>
        <v/>
      </c>
      <c r="H21" s="123" t="str">
        <f t="array" ref="H21">IF(SUMPRODUCT(('Hoạt động'!$A$5:$A$104=H$5)*('Hoạt động'!$B$5:$B$104&lt;=$A21+0.000001)*('Hoạt động'!$C$5:$C$104&gt;$A21+0.000001))+SUMPRODUCT(('Thông tin lớp học'!$H$10:$H$49=H$4)*('Thông tin lớp học'!$I$10:$I$49&lt;=$A21+0.000001)*('Thông tin lớp học'!$J$10:$J$49&gt;$A21+0.000001))=0,"",IF(SUMPRODUCT(('Hoạt động'!$A$5:$A$104=H$5)*('Hoạt động'!$B$5:$B$104&lt;=$A21+0.000001)*('Hoạt động'!$C$5:$C$104&gt;$A21+0.000001))+SUMPRODUCT(('Thông tin lớp học'!$H$10:$H$49=H$4)*('Thông tin lớp học'!$I$10:$I$49&lt;=$A21+0.000001)*('Thông tin lớp học'!$J$10:$J$49&gt;$A21+0.000001))&gt;1,"⚠ Trùng lịch",IF(SUMPRODUCT(('Hoạt động'!$A$5:$A$104=H$5)*('Hoạt động'!$B$5:$B$104&lt;=$A21+0.000001)*('Hoạt động'!$C$5:$C$104&gt;$A21+0.000001))=1,INDEX('Hoạt động'!$D$5:$D$104,SUMPRODUCT(('Hoạt động'!$A$5:$A$104=H$5)*('Hoạt động'!$B$5:$B$104&lt;=$A21+0.000001)*('Hoạt động'!$C$5:$C$104&gt;$A21+0.000001)*(ROW('Hoạt động'!$A$5:$A$104)-4))),INDEX('Thông tin lớp học'!$G$10:$G$49,SUMPRODUCT(('Thông tin lớp học'!$H$10:$H$49=H$4)*('Thông tin lớp học'!$I$10:$I$49&lt;=$A21+0.000001)*('Thông tin lớp học'!$J$10:$J$49&gt;$A21+0.000001)*(ROW('Thông tin lớp học'!$H$10:$H$49)-9))))))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16">
        <v>0.583333333333333</v>
      </c>
      <c r="B22" s="123" t="str">
        <f t="array" ref="B22">IF(SUMPRODUCT(('Hoạt động'!$A$5:$A$104=B$5)*('Hoạt động'!$B$5:$B$104&lt;=$A22+0.000001)*('Hoạt động'!$C$5:$C$104&gt;$A22+0.000001))+SUMPRODUCT(('Thông tin lớp học'!$H$10:$H$49=B$4)*('Thông tin lớp học'!$I$10:$I$49&lt;=$A22+0.000001)*('Thông tin lớp học'!$J$10:$J$49&gt;$A22+0.000001))=0,"",IF(SUMPRODUCT(('Hoạt động'!$A$5:$A$104=B$5)*('Hoạt động'!$B$5:$B$104&lt;=$A22+0.000001)*('Hoạt động'!$C$5:$C$104&gt;$A22+0.000001))+SUMPRODUCT(('Thông tin lớp học'!$H$10:$H$49=B$4)*('Thông tin lớp học'!$I$10:$I$49&lt;=$A22+0.000001)*('Thông tin lớp học'!$J$10:$J$49&gt;$A22+0.000001))&gt;1,"⚠ Trùng lịch",IF(SUMPRODUCT(('Hoạt động'!$A$5:$A$104=B$5)*('Hoạt động'!$B$5:$B$104&lt;=$A22+0.000001)*('Hoạt động'!$C$5:$C$104&gt;$A22+0.000001))=1,INDEX('Hoạt động'!$D$5:$D$104,SUMPRODUCT(('Hoạt động'!$A$5:$A$104=B$5)*('Hoạt động'!$B$5:$B$104&lt;=$A22+0.000001)*('Hoạt động'!$C$5:$C$104&gt;$A22+0.000001)*(ROW('Hoạt động'!$A$5:$A$104)-4))),INDEX('Thông tin lớp học'!$G$10:$G$49,SUMPRODUCT(('Thông tin lớp học'!$H$10:$H$49=B$4)*('Thông tin lớp học'!$I$10:$I$49&lt;=$A22+0.000001)*('Thông tin lớp học'!$J$10:$J$49&gt;$A22+0.000001)*(ROW('Thông tin lớp học'!$H$10:$H$49)-9))))))</f>
        <v>Tâm lý học</v>
      </c>
      <c r="C22" s="123" t="str">
        <f t="array" ref="C22">IF(SUMPRODUCT(('Hoạt động'!$A$5:$A$104=C$5)*('Hoạt động'!$B$5:$B$104&lt;=$A22+0.000001)*('Hoạt động'!$C$5:$C$104&gt;$A22+0.000001))+SUMPRODUCT(('Thông tin lớp học'!$H$10:$H$49=C$4)*('Thông tin lớp học'!$I$10:$I$49&lt;=$A22+0.000001)*('Thông tin lớp học'!$J$10:$J$49&gt;$A22+0.000001))=0,"",IF(SUMPRODUCT(('Hoạt động'!$A$5:$A$104=C$5)*('Hoạt động'!$B$5:$B$104&lt;=$A22+0.000001)*('Hoạt động'!$C$5:$C$104&gt;$A22+0.000001))+SUMPRODUCT(('Thông tin lớp học'!$H$10:$H$49=C$4)*('Thông tin lớp học'!$I$10:$I$49&lt;=$A22+0.000001)*('Thông tin lớp học'!$J$10:$J$49&gt;$A22+0.000001))&gt;1,"⚠ Trùng lịch",IF(SUMPRODUCT(('Hoạt động'!$A$5:$A$104=C$5)*('Hoạt động'!$B$5:$B$104&lt;=$A22+0.000001)*('Hoạt động'!$C$5:$C$104&gt;$A22+0.000001))=1,INDEX('Hoạt động'!$D$5:$D$104,SUMPRODUCT(('Hoạt động'!$A$5:$A$104=C$5)*('Hoạt động'!$B$5:$B$104&lt;=$A22+0.000001)*('Hoạt động'!$C$5:$C$104&gt;$A22+0.000001)*(ROW('Hoạt động'!$A$5:$A$104)-4))),INDEX('Thông tin lớp học'!$G$10:$G$49,SUMPRODUCT(('Thông tin lớp học'!$H$10:$H$49=C$4)*('Thông tin lớp học'!$I$10:$I$49&lt;=$A22+0.000001)*('Thông tin lớp học'!$J$10:$J$49&gt;$A22+0.000001)*(ROW('Thông tin lớp học'!$H$10:$H$49)-9))))))</f>
        <v/>
      </c>
      <c r="D22" s="123" t="str">
        <f t="array" ref="D22">IF(SUMPRODUCT(('Hoạt động'!$A$5:$A$104=D$5)*('Hoạt động'!$B$5:$B$104&lt;=$A22+0.000001)*('Hoạt động'!$C$5:$C$104&gt;$A22+0.000001))+SUMPRODUCT(('Thông tin lớp học'!$H$10:$H$49=D$4)*('Thông tin lớp học'!$I$10:$I$49&lt;=$A22+0.000001)*('Thông tin lớp học'!$J$10:$J$49&gt;$A22+0.000001))=0,"",IF(SUMPRODUCT(('Hoạt động'!$A$5:$A$104=D$5)*('Hoạt động'!$B$5:$B$104&lt;=$A22+0.000001)*('Hoạt động'!$C$5:$C$104&gt;$A22+0.000001))+SUMPRODUCT(('Thông tin lớp học'!$H$10:$H$49=D$4)*('Thông tin lớp học'!$I$10:$I$49&lt;=$A22+0.000001)*('Thông tin lớp học'!$J$10:$J$49&gt;$A22+0.000001))&gt;1,"⚠ Trùng lịch",IF(SUMPRODUCT(('Hoạt động'!$A$5:$A$104=D$5)*('Hoạt động'!$B$5:$B$104&lt;=$A22+0.000001)*('Hoạt động'!$C$5:$C$104&gt;$A22+0.000001))=1,INDEX('Hoạt động'!$D$5:$D$104,SUMPRODUCT(('Hoạt động'!$A$5:$A$104=D$5)*('Hoạt động'!$B$5:$B$104&lt;=$A22+0.000001)*('Hoạt động'!$C$5:$C$104&gt;$A22+0.000001)*(ROW('Hoạt động'!$A$5:$A$104)-4))),INDEX('Thông tin lớp học'!$G$10:$G$49,SUMPRODUCT(('Thông tin lớp học'!$H$10:$H$49=D$4)*('Thông tin lớp học'!$I$10:$I$49&lt;=$A22+0.000001)*('Thông tin lớp học'!$J$10:$J$49&gt;$A22+0.000001)*(ROW('Thông tin lớp học'!$H$10:$H$49)-9))))))</f>
        <v>Triết học Mác-Lênin</v>
      </c>
      <c r="E22" s="123" t="str">
        <f t="array" ref="E22">IF(SUMPRODUCT(('Hoạt động'!$A$5:$A$104=E$5)*('Hoạt động'!$B$5:$B$104&lt;=$A22+0.000001)*('Hoạt động'!$C$5:$C$104&gt;$A22+0.000001))+SUMPRODUCT(('Thông tin lớp học'!$H$10:$H$49=E$4)*('Thông tin lớp học'!$I$10:$I$49&lt;=$A22+0.000001)*('Thông tin lớp học'!$J$10:$J$49&gt;$A22+0.000001))=0,"",IF(SUMPRODUCT(('Hoạt động'!$A$5:$A$104=E$5)*('Hoạt động'!$B$5:$B$104&lt;=$A22+0.000001)*('Hoạt động'!$C$5:$C$104&gt;$A22+0.000001))+SUMPRODUCT(('Thông tin lớp học'!$H$10:$H$49=E$4)*('Thông tin lớp học'!$I$10:$I$49&lt;=$A22+0.000001)*('Thông tin lớp học'!$J$10:$J$49&gt;$A22+0.000001))&gt;1,"⚠ Trùng lịch",IF(SUMPRODUCT(('Hoạt động'!$A$5:$A$104=E$5)*('Hoạt động'!$B$5:$B$104&lt;=$A22+0.000001)*('Hoạt động'!$C$5:$C$104&gt;$A22+0.000001))=1,INDEX('Hoạt động'!$D$5:$D$104,SUMPRODUCT(('Hoạt động'!$A$5:$A$104=E$5)*('Hoạt động'!$B$5:$B$104&lt;=$A22+0.000001)*('Hoạt động'!$C$5:$C$104&gt;$A22+0.000001)*(ROW('Hoạt động'!$A$5:$A$104)-4))),INDEX('Thông tin lớp học'!$G$10:$G$49,SUMPRODUCT(('Thông tin lớp học'!$H$10:$H$49=E$4)*('Thông tin lớp học'!$I$10:$I$49&lt;=$A22+0.000001)*('Thông tin lớp học'!$J$10:$J$49&gt;$A22+0.000001)*(ROW('Thông tin lớp học'!$H$10:$H$49)-9))))))</f>
        <v/>
      </c>
      <c r="F22" s="123" t="str">
        <f t="array" ref="F22">IF(SUMPRODUCT(('Hoạt động'!$A$5:$A$104=F$5)*('Hoạt động'!$B$5:$B$104&lt;=$A22+0.000001)*('Hoạt động'!$C$5:$C$104&gt;$A22+0.000001))+SUMPRODUCT(('Thông tin lớp học'!$H$10:$H$49=F$4)*('Thông tin lớp học'!$I$10:$I$49&lt;=$A22+0.000001)*('Thông tin lớp học'!$J$10:$J$49&gt;$A22+0.000001))=0,"",IF(SUMPRODUCT(('Hoạt động'!$A$5:$A$104=F$5)*('Hoạt động'!$B$5:$B$104&lt;=$A22+0.000001)*('Hoạt động'!$C$5:$C$104&gt;$A22+0.000001))+SUMPRODUCT(('Thông tin lớp học'!$H$10:$H$49=F$4)*('Thông tin lớp học'!$I$10:$I$49&lt;=$A22+0.000001)*('Thông tin lớp học'!$J$10:$J$49&gt;$A22+0.000001))&gt;1,"⚠ Trùng lịch",IF(SUMPRODUCT(('Hoạt động'!$A$5:$A$104=F$5)*('Hoạt động'!$B$5:$B$104&lt;=$A22+0.000001)*('Hoạt động'!$C$5:$C$104&gt;$A22+0.000001))=1,INDEX('Hoạt động'!$D$5:$D$104,SUMPRODUCT(('Hoạt động'!$A$5:$A$104=F$5)*('Hoạt động'!$B$5:$B$104&lt;=$A22+0.000001)*('Hoạt động'!$C$5:$C$104&gt;$A22+0.000001)*(ROW('Hoạt động'!$A$5:$A$104)-4))),INDEX('Thông tin lớp học'!$G$10:$G$49,SUMPRODUCT(('Thông tin lớp học'!$H$10:$H$49=F$4)*('Thông tin lớp học'!$I$10:$I$49&lt;=$A22+0.000001)*('Thông tin lớp học'!$J$10:$J$49&gt;$A22+0.000001)*(ROW('Thông tin lớp học'!$H$10:$H$49)-9))))))</f>
        <v>Kỹ năng mềm</v>
      </c>
      <c r="G22" s="123" t="str">
        <f t="array" ref="G22">IF(SUMPRODUCT(('Hoạt động'!$A$5:$A$104=G$5)*('Hoạt động'!$B$5:$B$104&lt;=$A22+0.000001)*('Hoạt động'!$C$5:$C$104&gt;$A22+0.000001))+SUMPRODUCT(('Thông tin lớp học'!$H$10:$H$49=G$4)*('Thông tin lớp học'!$I$10:$I$49&lt;=$A22+0.000001)*('Thông tin lớp học'!$J$10:$J$49&gt;$A22+0.000001))=0,"",IF(SUMPRODUCT(('Hoạt động'!$A$5:$A$104=G$5)*('Hoạt động'!$B$5:$B$104&lt;=$A22+0.000001)*('Hoạt động'!$C$5:$C$104&gt;$A22+0.000001))+SUMPRODUCT(('Thông tin lớp học'!$H$10:$H$49=G$4)*('Thông tin lớp học'!$I$10:$I$49&lt;=$A22+0.000001)*('Thông tin lớp học'!$J$10:$J$49&gt;$A22+0.000001))&gt;1,"⚠ Trùng lịch",IF(SUMPRODUCT(('Hoạt động'!$A$5:$A$104=G$5)*('Hoạt động'!$B$5:$B$104&lt;=$A22+0.000001)*('Hoạt động'!$C$5:$C$104&gt;$A22+0.000001))=1,INDEX('Hoạt động'!$D$5:$D$104,SUMPRODUCT(('Hoạt động'!$A$5:$A$104=G$5)*('Hoạt động'!$B$5:$B$104&lt;=$A22+0.000001)*('Hoạt động'!$C$5:$C$104&gt;$A22+0.000001)*(ROW('Hoạt động'!$A$5:$A$104)-4))),INDEX('Thông tin lớp học'!$G$10:$G$49,SUMPRODUCT(('Thông tin lớp học'!$H$10:$H$49=G$4)*('Thông tin lớp học'!$I$10:$I$49&lt;=$A22+0.000001)*('Thông tin lớp học'!$J$10:$J$49&gt;$A22+0.000001)*(ROW('Thông tin lớp học'!$H$10:$H$49)-9))))))</f>
        <v/>
      </c>
      <c r="H22" s="123" t="str">
        <f t="array" ref="H22">IF(SUMPRODUCT(('Hoạt động'!$A$5:$A$104=H$5)*('Hoạt động'!$B$5:$B$104&lt;=$A22+0.000001)*('Hoạt động'!$C$5:$C$104&gt;$A22+0.000001))+SUMPRODUCT(('Thông tin lớp học'!$H$10:$H$49=H$4)*('Thông tin lớp học'!$I$10:$I$49&lt;=$A22+0.000001)*('Thông tin lớp học'!$J$10:$J$49&gt;$A22+0.000001))=0,"",IF(SUMPRODUCT(('Hoạt động'!$A$5:$A$104=H$5)*('Hoạt động'!$B$5:$B$104&lt;=$A22+0.000001)*('Hoạt động'!$C$5:$C$104&gt;$A22+0.000001))+SUMPRODUCT(('Thông tin lớp học'!$H$10:$H$49=H$4)*('Thông tin lớp học'!$I$10:$I$49&lt;=$A22+0.000001)*('Thông tin lớp học'!$J$10:$J$49&gt;$A22+0.000001))&gt;1,"⚠ Trùng lịch",IF(SUMPRODUCT(('Hoạt động'!$A$5:$A$104=H$5)*('Hoạt động'!$B$5:$B$104&lt;=$A22+0.000001)*('Hoạt động'!$C$5:$C$104&gt;$A22+0.000001))=1,INDEX('Hoạt động'!$D$5:$D$104,SUMPRODUCT(('Hoạt động'!$A$5:$A$104=H$5)*('Hoạt động'!$B$5:$B$104&lt;=$A22+0.000001)*('Hoạt động'!$C$5:$C$104&gt;$A22+0.000001)*(ROW('Hoạt động'!$A$5:$A$104)-4))),INDEX('Thông tin lớp học'!$G$10:$G$49,SUMPRODUCT(('Thông tin lớp học'!$H$10:$H$49=H$4)*('Thông tin lớp học'!$I$10:$I$49&lt;=$A22+0.000001)*('Thông tin lớp học'!$J$10:$J$49&gt;$A22+0.000001)*(ROW('Thông tin lớp học'!$H$10:$H$49)-9))))))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16">
        <v>0.604166666666667</v>
      </c>
      <c r="B23" s="123" t="str">
        <f t="array" ref="B23">IF(SUMPRODUCT(('Hoạt động'!$A$5:$A$104=B$5)*('Hoạt động'!$B$5:$B$104&lt;=$A23+0.000001)*('Hoạt động'!$C$5:$C$104&gt;$A23+0.000001))+SUMPRODUCT(('Thông tin lớp học'!$H$10:$H$49=B$4)*('Thông tin lớp học'!$I$10:$I$49&lt;=$A23+0.000001)*('Thông tin lớp học'!$J$10:$J$49&gt;$A23+0.000001))=0,"",IF(SUMPRODUCT(('Hoạt động'!$A$5:$A$104=B$5)*('Hoạt động'!$B$5:$B$104&lt;=$A23+0.000001)*('Hoạt động'!$C$5:$C$104&gt;$A23+0.000001))+SUMPRODUCT(('Thông tin lớp học'!$H$10:$H$49=B$4)*('Thông tin lớp học'!$I$10:$I$49&lt;=$A23+0.000001)*('Thông tin lớp học'!$J$10:$J$49&gt;$A23+0.000001))&gt;1,"⚠ Trùng lịch",IF(SUMPRODUCT(('Hoạt động'!$A$5:$A$104=B$5)*('Hoạt động'!$B$5:$B$104&lt;=$A23+0.000001)*('Hoạt động'!$C$5:$C$104&gt;$A23+0.000001))=1,INDEX('Hoạt động'!$D$5:$D$104,SUMPRODUCT(('Hoạt động'!$A$5:$A$104=B$5)*('Hoạt động'!$B$5:$B$104&lt;=$A23+0.000001)*('Hoạt động'!$C$5:$C$104&gt;$A23+0.000001)*(ROW('Hoạt động'!$A$5:$A$104)-4))),INDEX('Thông tin lớp học'!$G$10:$G$49,SUMPRODUCT(('Thông tin lớp học'!$H$10:$H$49=B$4)*('Thông tin lớp học'!$I$10:$I$49&lt;=$A23+0.000001)*('Thông tin lớp học'!$J$10:$J$49&gt;$A23+0.000001)*(ROW('Thông tin lớp học'!$H$10:$H$49)-9))))))</f>
        <v>Tâm lý học</v>
      </c>
      <c r="C23" s="123" t="str">
        <f t="array" ref="C23">IF(SUMPRODUCT(('Hoạt động'!$A$5:$A$104=C$5)*('Hoạt động'!$B$5:$B$104&lt;=$A23+0.000001)*('Hoạt động'!$C$5:$C$104&gt;$A23+0.000001))+SUMPRODUCT(('Thông tin lớp học'!$H$10:$H$49=C$4)*('Thông tin lớp học'!$I$10:$I$49&lt;=$A23+0.000001)*('Thông tin lớp học'!$J$10:$J$49&gt;$A23+0.000001))=0,"",IF(SUMPRODUCT(('Hoạt động'!$A$5:$A$104=C$5)*('Hoạt động'!$B$5:$B$104&lt;=$A23+0.000001)*('Hoạt động'!$C$5:$C$104&gt;$A23+0.000001))+SUMPRODUCT(('Thông tin lớp học'!$H$10:$H$49=C$4)*('Thông tin lớp học'!$I$10:$I$49&lt;=$A23+0.000001)*('Thông tin lớp học'!$J$10:$J$49&gt;$A23+0.000001))&gt;1,"⚠ Trùng lịch",IF(SUMPRODUCT(('Hoạt động'!$A$5:$A$104=C$5)*('Hoạt động'!$B$5:$B$104&lt;=$A23+0.000001)*('Hoạt động'!$C$5:$C$104&gt;$A23+0.000001))=1,INDEX('Hoạt động'!$D$5:$D$104,SUMPRODUCT(('Hoạt động'!$A$5:$A$104=C$5)*('Hoạt động'!$B$5:$B$104&lt;=$A23+0.000001)*('Hoạt động'!$C$5:$C$104&gt;$A23+0.000001)*(ROW('Hoạt động'!$A$5:$A$104)-4))),INDEX('Thông tin lớp học'!$G$10:$G$49,SUMPRODUCT(('Thông tin lớp học'!$H$10:$H$49=C$4)*('Thông tin lớp học'!$I$10:$I$49&lt;=$A23+0.000001)*('Thông tin lớp học'!$J$10:$J$49&gt;$A23+0.000001)*(ROW('Thông tin lớp học'!$H$10:$H$49)-9))))))</f>
        <v/>
      </c>
      <c r="D23" s="123" t="str">
        <f t="array" ref="D23">IF(SUMPRODUCT(('Hoạt động'!$A$5:$A$104=D$5)*('Hoạt động'!$B$5:$B$104&lt;=$A23+0.000001)*('Hoạt động'!$C$5:$C$104&gt;$A23+0.000001))+SUMPRODUCT(('Thông tin lớp học'!$H$10:$H$49=D$4)*('Thông tin lớp học'!$I$10:$I$49&lt;=$A23+0.000001)*('Thông tin lớp học'!$J$10:$J$49&gt;$A23+0.000001))=0,"",IF(SUMPRODUCT(('Hoạt động'!$A$5:$A$104=D$5)*('Hoạt động'!$B$5:$B$104&lt;=$A23+0.000001)*('Hoạt động'!$C$5:$C$104&gt;$A23+0.000001))+SUMPRODUCT(('Thông tin lớp học'!$H$10:$H$49=D$4)*('Thông tin lớp học'!$I$10:$I$49&lt;=$A23+0.000001)*('Thông tin lớp học'!$J$10:$J$49&gt;$A23+0.000001))&gt;1,"⚠ Trùng lịch",IF(SUMPRODUCT(('Hoạt động'!$A$5:$A$104=D$5)*('Hoạt động'!$B$5:$B$104&lt;=$A23+0.000001)*('Hoạt động'!$C$5:$C$104&gt;$A23+0.000001))=1,INDEX('Hoạt động'!$D$5:$D$104,SUMPRODUCT(('Hoạt động'!$A$5:$A$104=D$5)*('Hoạt động'!$B$5:$B$104&lt;=$A23+0.000001)*('Hoạt động'!$C$5:$C$104&gt;$A23+0.000001)*(ROW('Hoạt động'!$A$5:$A$104)-4))),INDEX('Thông tin lớp học'!$G$10:$G$49,SUMPRODUCT(('Thông tin lớp học'!$H$10:$H$49=D$4)*('Thông tin lớp học'!$I$10:$I$49&lt;=$A23+0.000001)*('Thông tin lớp học'!$J$10:$J$49&gt;$A23+0.000001)*(ROW('Thông tin lớp học'!$H$10:$H$49)-9))))))</f>
        <v>Triết học Mác-Lênin</v>
      </c>
      <c r="E23" s="123" t="str">
        <f t="array" ref="E23">IF(SUMPRODUCT(('Hoạt động'!$A$5:$A$104=E$5)*('Hoạt động'!$B$5:$B$104&lt;=$A23+0.000001)*('Hoạt động'!$C$5:$C$104&gt;$A23+0.000001))+SUMPRODUCT(('Thông tin lớp học'!$H$10:$H$49=E$4)*('Thông tin lớp học'!$I$10:$I$49&lt;=$A23+0.000001)*('Thông tin lớp học'!$J$10:$J$49&gt;$A23+0.000001))=0,"",IF(SUMPRODUCT(('Hoạt động'!$A$5:$A$104=E$5)*('Hoạt động'!$B$5:$B$104&lt;=$A23+0.000001)*('Hoạt động'!$C$5:$C$104&gt;$A23+0.000001))+SUMPRODUCT(('Thông tin lớp học'!$H$10:$H$49=E$4)*('Thông tin lớp học'!$I$10:$I$49&lt;=$A23+0.000001)*('Thông tin lớp học'!$J$10:$J$49&gt;$A23+0.000001))&gt;1,"⚠ Trùng lịch",IF(SUMPRODUCT(('Hoạt động'!$A$5:$A$104=E$5)*('Hoạt động'!$B$5:$B$104&lt;=$A23+0.000001)*('Hoạt động'!$C$5:$C$104&gt;$A23+0.000001))=1,INDEX('Hoạt động'!$D$5:$D$104,SUMPRODUCT(('Hoạt động'!$A$5:$A$104=E$5)*('Hoạt động'!$B$5:$B$104&lt;=$A23+0.000001)*('Hoạt động'!$C$5:$C$104&gt;$A23+0.000001)*(ROW('Hoạt động'!$A$5:$A$104)-4))),INDEX('Thông tin lớp học'!$G$10:$G$49,SUMPRODUCT(('Thông tin lớp học'!$H$10:$H$49=E$4)*('Thông tin lớp học'!$I$10:$I$49&lt;=$A23+0.000001)*('Thông tin lớp học'!$J$10:$J$49&gt;$A23+0.000001)*(ROW('Thông tin lớp học'!$H$10:$H$49)-9))))))</f>
        <v/>
      </c>
      <c r="F23" s="123" t="str">
        <f t="array" ref="F23">IF(SUMPRODUCT(('Hoạt động'!$A$5:$A$104=F$5)*('Hoạt động'!$B$5:$B$104&lt;=$A23+0.000001)*('Hoạt động'!$C$5:$C$104&gt;$A23+0.000001))+SUMPRODUCT(('Thông tin lớp học'!$H$10:$H$49=F$4)*('Thông tin lớp học'!$I$10:$I$49&lt;=$A23+0.000001)*('Thông tin lớp học'!$J$10:$J$49&gt;$A23+0.000001))=0,"",IF(SUMPRODUCT(('Hoạt động'!$A$5:$A$104=F$5)*('Hoạt động'!$B$5:$B$104&lt;=$A23+0.000001)*('Hoạt động'!$C$5:$C$104&gt;$A23+0.000001))+SUMPRODUCT(('Thông tin lớp học'!$H$10:$H$49=F$4)*('Thông tin lớp học'!$I$10:$I$49&lt;=$A23+0.000001)*('Thông tin lớp học'!$J$10:$J$49&gt;$A23+0.000001))&gt;1,"⚠ Trùng lịch",IF(SUMPRODUCT(('Hoạt động'!$A$5:$A$104=F$5)*('Hoạt động'!$B$5:$B$104&lt;=$A23+0.000001)*('Hoạt động'!$C$5:$C$104&gt;$A23+0.000001))=1,INDEX('Hoạt động'!$D$5:$D$104,SUMPRODUCT(('Hoạt động'!$A$5:$A$104=F$5)*('Hoạt động'!$B$5:$B$104&lt;=$A23+0.000001)*('Hoạt động'!$C$5:$C$104&gt;$A23+0.000001)*(ROW('Hoạt động'!$A$5:$A$104)-4))),INDEX('Thông tin lớp học'!$G$10:$G$49,SUMPRODUCT(('Thông tin lớp học'!$H$10:$H$49=F$4)*('Thông tin lớp học'!$I$10:$I$49&lt;=$A23+0.000001)*('Thông tin lớp học'!$J$10:$J$49&gt;$A23+0.000001)*(ROW('Thông tin lớp học'!$H$10:$H$49)-9))))))</f>
        <v>Kỹ năng mềm</v>
      </c>
      <c r="G23" s="123" t="str">
        <f t="array" ref="G23">IF(SUMPRODUCT(('Hoạt động'!$A$5:$A$104=G$5)*('Hoạt động'!$B$5:$B$104&lt;=$A23+0.000001)*('Hoạt động'!$C$5:$C$104&gt;$A23+0.000001))+SUMPRODUCT(('Thông tin lớp học'!$H$10:$H$49=G$4)*('Thông tin lớp học'!$I$10:$I$49&lt;=$A23+0.000001)*('Thông tin lớp học'!$J$10:$J$49&gt;$A23+0.000001))=0,"",IF(SUMPRODUCT(('Hoạt động'!$A$5:$A$104=G$5)*('Hoạt động'!$B$5:$B$104&lt;=$A23+0.000001)*('Hoạt động'!$C$5:$C$104&gt;$A23+0.000001))+SUMPRODUCT(('Thông tin lớp học'!$H$10:$H$49=G$4)*('Thông tin lớp học'!$I$10:$I$49&lt;=$A23+0.000001)*('Thông tin lớp học'!$J$10:$J$49&gt;$A23+0.000001))&gt;1,"⚠ Trùng lịch",IF(SUMPRODUCT(('Hoạt động'!$A$5:$A$104=G$5)*('Hoạt động'!$B$5:$B$104&lt;=$A23+0.000001)*('Hoạt động'!$C$5:$C$104&gt;$A23+0.000001))=1,INDEX('Hoạt động'!$D$5:$D$104,SUMPRODUCT(('Hoạt động'!$A$5:$A$104=G$5)*('Hoạt động'!$B$5:$B$104&lt;=$A23+0.000001)*('Hoạt động'!$C$5:$C$104&gt;$A23+0.000001)*(ROW('Hoạt động'!$A$5:$A$104)-4))),INDEX('Thông tin lớp học'!$G$10:$G$49,SUMPRODUCT(('Thông tin lớp học'!$H$10:$H$49=G$4)*('Thông tin lớp học'!$I$10:$I$49&lt;=$A23+0.000001)*('Thông tin lớp học'!$J$10:$J$49&gt;$A23+0.000001)*(ROW('Thông tin lớp học'!$H$10:$H$49)-9))))))</f>
        <v/>
      </c>
      <c r="H23" s="123" t="str">
        <f t="array" ref="H23">IF(SUMPRODUCT(('Hoạt động'!$A$5:$A$104=H$5)*('Hoạt động'!$B$5:$B$104&lt;=$A23+0.000001)*('Hoạt động'!$C$5:$C$104&gt;$A23+0.000001))+SUMPRODUCT(('Thông tin lớp học'!$H$10:$H$49=H$4)*('Thông tin lớp học'!$I$10:$I$49&lt;=$A23+0.000001)*('Thông tin lớp học'!$J$10:$J$49&gt;$A23+0.000001))=0,"",IF(SUMPRODUCT(('Hoạt động'!$A$5:$A$104=H$5)*('Hoạt động'!$B$5:$B$104&lt;=$A23+0.000001)*('Hoạt động'!$C$5:$C$104&gt;$A23+0.000001))+SUMPRODUCT(('Thông tin lớp học'!$H$10:$H$49=H$4)*('Thông tin lớp học'!$I$10:$I$49&lt;=$A23+0.000001)*('Thông tin lớp học'!$J$10:$J$49&gt;$A23+0.000001))&gt;1,"⚠ Trùng lịch",IF(SUMPRODUCT(('Hoạt động'!$A$5:$A$104=H$5)*('Hoạt động'!$B$5:$B$104&lt;=$A23+0.000001)*('Hoạt động'!$C$5:$C$104&gt;$A23+0.000001))=1,INDEX('Hoạt động'!$D$5:$D$104,SUMPRODUCT(('Hoạt động'!$A$5:$A$104=H$5)*('Hoạt động'!$B$5:$B$104&lt;=$A23+0.000001)*('Hoạt động'!$C$5:$C$104&gt;$A23+0.000001)*(ROW('Hoạt động'!$A$5:$A$104)-4))),INDEX('Thông tin lớp học'!$G$10:$G$49,SUMPRODUCT(('Thông tin lớp học'!$H$10:$H$49=H$4)*('Thông tin lớp học'!$I$10:$I$49&lt;=$A23+0.000001)*('Thông tin lớp học'!$J$10:$J$49&gt;$A23+0.000001)*(ROW('Thông tin lớp học'!$H$10:$H$49)-9))))))</f>
        <v/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16">
        <v>0.625</v>
      </c>
      <c r="B24" s="123" t="str">
        <f t="array" ref="B24">IF(SUMPRODUCT(('Hoạt động'!$A$5:$A$104=B$5)*('Hoạt động'!$B$5:$B$104&lt;=$A24+0.000001)*('Hoạt động'!$C$5:$C$104&gt;$A24+0.000001))+SUMPRODUCT(('Thông tin lớp học'!$H$10:$H$49=B$4)*('Thông tin lớp học'!$I$10:$I$49&lt;=$A24+0.000001)*('Thông tin lớp học'!$J$10:$J$49&gt;$A24+0.000001))=0,"",IF(SUMPRODUCT(('Hoạt động'!$A$5:$A$104=B$5)*('Hoạt động'!$B$5:$B$104&lt;=$A24+0.000001)*('Hoạt động'!$C$5:$C$104&gt;$A24+0.000001))+SUMPRODUCT(('Thông tin lớp học'!$H$10:$H$49=B$4)*('Thông tin lớp học'!$I$10:$I$49&lt;=$A24+0.000001)*('Thông tin lớp học'!$J$10:$J$49&gt;$A24+0.000001))&gt;1,"⚠ Trùng lịch",IF(SUMPRODUCT(('Hoạt động'!$A$5:$A$104=B$5)*('Hoạt động'!$B$5:$B$104&lt;=$A24+0.000001)*('Hoạt động'!$C$5:$C$104&gt;$A24+0.000001))=1,INDEX('Hoạt động'!$D$5:$D$104,SUMPRODUCT(('Hoạt động'!$A$5:$A$104=B$5)*('Hoạt động'!$B$5:$B$104&lt;=$A24+0.000001)*('Hoạt động'!$C$5:$C$104&gt;$A24+0.000001)*(ROW('Hoạt động'!$A$5:$A$104)-4))),INDEX('Thông tin lớp học'!$G$10:$G$49,SUMPRODUCT(('Thông tin lớp học'!$H$10:$H$49=B$4)*('Thông tin lớp học'!$I$10:$I$49&lt;=$A24+0.000001)*('Thông tin lớp học'!$J$10:$J$49&gt;$A24+0.000001)*(ROW('Thông tin lớp học'!$H$10:$H$49)-9))))))</f>
        <v/>
      </c>
      <c r="C24" s="123" t="str">
        <f t="array" ref="C24">IF(SUMPRODUCT(('Hoạt động'!$A$5:$A$104=C$5)*('Hoạt động'!$B$5:$B$104&lt;=$A24+0.000001)*('Hoạt động'!$C$5:$C$104&gt;$A24+0.000001))+SUMPRODUCT(('Thông tin lớp học'!$H$10:$H$49=C$4)*('Thông tin lớp học'!$I$10:$I$49&lt;=$A24+0.000001)*('Thông tin lớp học'!$J$10:$J$49&gt;$A24+0.000001))=0,"",IF(SUMPRODUCT(('Hoạt động'!$A$5:$A$104=C$5)*('Hoạt động'!$B$5:$B$104&lt;=$A24+0.000001)*('Hoạt động'!$C$5:$C$104&gt;$A24+0.000001))+SUMPRODUCT(('Thông tin lớp học'!$H$10:$H$49=C$4)*('Thông tin lớp học'!$I$10:$I$49&lt;=$A24+0.000001)*('Thông tin lớp học'!$J$10:$J$49&gt;$A24+0.000001))&gt;1,"⚠ Trùng lịch",IF(SUMPRODUCT(('Hoạt động'!$A$5:$A$104=C$5)*('Hoạt động'!$B$5:$B$104&lt;=$A24+0.000001)*('Hoạt động'!$C$5:$C$104&gt;$A24+0.000001))=1,INDEX('Hoạt động'!$D$5:$D$104,SUMPRODUCT(('Hoạt động'!$A$5:$A$104=C$5)*('Hoạt động'!$B$5:$B$104&lt;=$A24+0.000001)*('Hoạt động'!$C$5:$C$104&gt;$A24+0.000001)*(ROW('Hoạt động'!$A$5:$A$104)-4))),INDEX('Thông tin lớp học'!$G$10:$G$49,SUMPRODUCT(('Thông tin lớp học'!$H$10:$H$49=C$4)*('Thông tin lớp học'!$I$10:$I$49&lt;=$A24+0.000001)*('Thông tin lớp học'!$J$10:$J$49&gt;$A24+0.000001)*(ROW('Thông tin lớp học'!$H$10:$H$49)-9))))))</f>
        <v/>
      </c>
      <c r="D24" s="123" t="str">
        <f t="array" ref="D24">IF(SUMPRODUCT(('Hoạt động'!$A$5:$A$104=D$5)*('Hoạt động'!$B$5:$B$104&lt;=$A24+0.000001)*('Hoạt động'!$C$5:$C$104&gt;$A24+0.000001))+SUMPRODUCT(('Thông tin lớp học'!$H$10:$H$49=D$4)*('Thông tin lớp học'!$I$10:$I$49&lt;=$A24+0.000001)*('Thông tin lớp học'!$J$10:$J$49&gt;$A24+0.000001))=0,"",IF(SUMPRODUCT(('Hoạt động'!$A$5:$A$104=D$5)*('Hoạt động'!$B$5:$B$104&lt;=$A24+0.000001)*('Hoạt động'!$C$5:$C$104&gt;$A24+0.000001))+SUMPRODUCT(('Thông tin lớp học'!$H$10:$H$49=D$4)*('Thông tin lớp học'!$I$10:$I$49&lt;=$A24+0.000001)*('Thông tin lớp học'!$J$10:$J$49&gt;$A24+0.000001))&gt;1,"⚠ Trùng lịch",IF(SUMPRODUCT(('Hoạt động'!$A$5:$A$104=D$5)*('Hoạt động'!$B$5:$B$104&lt;=$A24+0.000001)*('Hoạt động'!$C$5:$C$104&gt;$A24+0.000001))=1,INDEX('Hoạt động'!$D$5:$D$104,SUMPRODUCT(('Hoạt động'!$A$5:$A$104=D$5)*('Hoạt động'!$B$5:$B$104&lt;=$A24+0.000001)*('Hoạt động'!$C$5:$C$104&gt;$A24+0.000001)*(ROW('Hoạt động'!$A$5:$A$104)-4))),INDEX('Thông tin lớp học'!$G$10:$G$49,SUMPRODUCT(('Thông tin lớp học'!$H$10:$H$49=D$4)*('Thông tin lớp học'!$I$10:$I$49&lt;=$A24+0.000001)*('Thông tin lớp học'!$J$10:$J$49&gt;$A24+0.000001)*(ROW('Thông tin lớp học'!$H$10:$H$49)-9))))))</f>
        <v>Triết học Mác-Lênin</v>
      </c>
      <c r="E24" s="123" t="str">
        <f t="array" ref="E24">IF(SUMPRODUCT(('Hoạt động'!$A$5:$A$104=E$5)*('Hoạt động'!$B$5:$B$104&lt;=$A24+0.000001)*('Hoạt động'!$C$5:$C$104&gt;$A24+0.000001))+SUMPRODUCT(('Thông tin lớp học'!$H$10:$H$49=E$4)*('Thông tin lớp học'!$I$10:$I$49&lt;=$A24+0.000001)*('Thông tin lớp học'!$J$10:$J$49&gt;$A24+0.000001))=0,"",IF(SUMPRODUCT(('Hoạt động'!$A$5:$A$104=E$5)*('Hoạt động'!$B$5:$B$104&lt;=$A24+0.000001)*('Hoạt động'!$C$5:$C$104&gt;$A24+0.000001))+SUMPRODUCT(('Thông tin lớp học'!$H$10:$H$49=E$4)*('Thông tin lớp học'!$I$10:$I$49&lt;=$A24+0.000001)*('Thông tin lớp học'!$J$10:$J$49&gt;$A24+0.000001))&gt;1,"⚠ Trùng lịch",IF(SUMPRODUCT(('Hoạt động'!$A$5:$A$104=E$5)*('Hoạt động'!$B$5:$B$104&lt;=$A24+0.000001)*('Hoạt động'!$C$5:$C$104&gt;$A24+0.000001))=1,INDEX('Hoạt động'!$D$5:$D$104,SUMPRODUCT(('Hoạt động'!$A$5:$A$104=E$5)*('Hoạt động'!$B$5:$B$104&lt;=$A24+0.000001)*('Hoạt động'!$C$5:$C$104&gt;$A24+0.000001)*(ROW('Hoạt động'!$A$5:$A$104)-4))),INDEX('Thông tin lớp học'!$G$10:$G$49,SUMPRODUCT(('Thông tin lớp học'!$H$10:$H$49=E$4)*('Thông tin lớp học'!$I$10:$I$49&lt;=$A24+0.000001)*('Thông tin lớp học'!$J$10:$J$49&gt;$A24+0.000001)*(ROW('Thông tin lớp học'!$H$10:$H$49)-9))))))</f>
        <v/>
      </c>
      <c r="F24" s="123" t="str">
        <f t="array" ref="F24">IF(SUMPRODUCT(('Hoạt động'!$A$5:$A$104=F$5)*('Hoạt động'!$B$5:$B$104&lt;=$A24+0.000001)*('Hoạt động'!$C$5:$C$104&gt;$A24+0.000001))+SUMPRODUCT(('Thông tin lớp học'!$H$10:$H$49=F$4)*('Thông tin lớp học'!$I$10:$I$49&lt;=$A24+0.000001)*('Thông tin lớp học'!$J$10:$J$49&gt;$A24+0.000001))=0,"",IF(SUMPRODUCT(('Hoạt động'!$A$5:$A$104=F$5)*('Hoạt động'!$B$5:$B$104&lt;=$A24+0.000001)*('Hoạt động'!$C$5:$C$104&gt;$A24+0.000001))+SUMPRODUCT(('Thông tin lớp học'!$H$10:$H$49=F$4)*('Thông tin lớp học'!$I$10:$I$49&lt;=$A24+0.000001)*('Thông tin lớp học'!$J$10:$J$49&gt;$A24+0.000001))&gt;1,"⚠ Trùng lịch",IF(SUMPRODUCT(('Hoạt động'!$A$5:$A$104=F$5)*('Hoạt động'!$B$5:$B$104&lt;=$A24+0.000001)*('Hoạt động'!$C$5:$C$104&gt;$A24+0.000001))=1,INDEX('Hoạt động'!$D$5:$D$104,SUMPRODUCT(('Hoạt động'!$A$5:$A$104=F$5)*('Hoạt động'!$B$5:$B$104&lt;=$A24+0.000001)*('Hoạt động'!$C$5:$C$104&gt;$A24+0.000001)*(ROW('Hoạt động'!$A$5:$A$104)-4))),INDEX('Thông tin lớp học'!$G$10:$G$49,SUMPRODUCT(('Thông tin lớp học'!$H$10:$H$49=F$4)*('Thông tin lớp học'!$I$10:$I$49&lt;=$A24+0.000001)*('Thông tin lớp học'!$J$10:$J$49&gt;$A24+0.000001)*(ROW('Thông tin lớp học'!$H$10:$H$49)-9))))))</f>
        <v>Kỹ năng mềm</v>
      </c>
      <c r="G24" s="123" t="str">
        <f t="array" ref="G24">IF(SUMPRODUCT(('Hoạt động'!$A$5:$A$104=G$5)*('Hoạt động'!$B$5:$B$104&lt;=$A24+0.000001)*('Hoạt động'!$C$5:$C$104&gt;$A24+0.000001))+SUMPRODUCT(('Thông tin lớp học'!$H$10:$H$49=G$4)*('Thông tin lớp học'!$I$10:$I$49&lt;=$A24+0.000001)*('Thông tin lớp học'!$J$10:$J$49&gt;$A24+0.000001))=0,"",IF(SUMPRODUCT(('Hoạt động'!$A$5:$A$104=G$5)*('Hoạt động'!$B$5:$B$104&lt;=$A24+0.000001)*('Hoạt động'!$C$5:$C$104&gt;$A24+0.000001))+SUMPRODUCT(('Thông tin lớp học'!$H$10:$H$49=G$4)*('Thông tin lớp học'!$I$10:$I$49&lt;=$A24+0.000001)*('Thông tin lớp học'!$J$10:$J$49&gt;$A24+0.000001))&gt;1,"⚠ Trùng lịch",IF(SUMPRODUCT(('Hoạt động'!$A$5:$A$104=G$5)*('Hoạt động'!$B$5:$B$104&lt;=$A24+0.000001)*('Hoạt động'!$C$5:$C$104&gt;$A24+0.000001))=1,INDEX('Hoạt động'!$D$5:$D$104,SUMPRODUCT(('Hoạt động'!$A$5:$A$104=G$5)*('Hoạt động'!$B$5:$B$104&lt;=$A24+0.000001)*('Hoạt động'!$C$5:$C$104&gt;$A24+0.000001)*(ROW('Hoạt động'!$A$5:$A$104)-4))),INDEX('Thông tin lớp học'!$G$10:$G$49,SUMPRODUCT(('Thông tin lớp học'!$H$10:$H$49=G$4)*('Thông tin lớp học'!$I$10:$I$49&lt;=$A24+0.000001)*('Thông tin lớp học'!$J$10:$J$49&gt;$A24+0.000001)*(ROW('Thông tin lớp học'!$H$10:$H$49)-9))))))</f>
        <v/>
      </c>
      <c r="H24" s="123" t="str">
        <f t="array" ref="H24">IF(SUMPRODUCT(('Hoạt động'!$A$5:$A$104=H$5)*('Hoạt động'!$B$5:$B$104&lt;=$A24+0.000001)*('Hoạt động'!$C$5:$C$104&gt;$A24+0.000001))+SUMPRODUCT(('Thông tin lớp học'!$H$10:$H$49=H$4)*('Thông tin lớp học'!$I$10:$I$49&lt;=$A24+0.000001)*('Thông tin lớp học'!$J$10:$J$49&gt;$A24+0.000001))=0,"",IF(SUMPRODUCT(('Hoạt động'!$A$5:$A$104=H$5)*('Hoạt động'!$B$5:$B$104&lt;=$A24+0.000001)*('Hoạt động'!$C$5:$C$104&gt;$A24+0.000001))+SUMPRODUCT(('Thông tin lớp học'!$H$10:$H$49=H$4)*('Thông tin lớp học'!$I$10:$I$49&lt;=$A24+0.000001)*('Thông tin lớp học'!$J$10:$J$49&gt;$A24+0.000001))&gt;1,"⚠ Trùng lịch",IF(SUMPRODUCT(('Hoạt động'!$A$5:$A$104=H$5)*('Hoạt động'!$B$5:$B$104&lt;=$A24+0.000001)*('Hoạt động'!$C$5:$C$104&gt;$A24+0.000001))=1,INDEX('Hoạt động'!$D$5:$D$104,SUMPRODUCT(('Hoạt động'!$A$5:$A$104=H$5)*('Hoạt động'!$B$5:$B$104&lt;=$A24+0.000001)*('Hoạt động'!$C$5:$C$104&gt;$A24+0.000001)*(ROW('Hoạt động'!$A$5:$A$104)-4))),INDEX('Thông tin lớp học'!$G$10:$G$49,SUMPRODUCT(('Thông tin lớp học'!$H$10:$H$49=H$4)*('Thông tin lớp học'!$I$10:$I$49&lt;=$A24+0.000001)*('Thông tin lớp học'!$J$10:$J$49&gt;$A24+0.000001)*(ROW('Thông tin lớp học'!$H$10:$H$49)-9))))))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16">
        <v>0.645833333333333</v>
      </c>
      <c r="B25" s="123" t="str">
        <f t="array" ref="B25">IF(SUMPRODUCT(('Hoạt động'!$A$5:$A$104=B$5)*('Hoạt động'!$B$5:$B$104&lt;=$A25+0.000001)*('Hoạt động'!$C$5:$C$104&gt;$A25+0.000001))+SUMPRODUCT(('Thông tin lớp học'!$H$10:$H$49=B$4)*('Thông tin lớp học'!$I$10:$I$49&lt;=$A25+0.000001)*('Thông tin lớp học'!$J$10:$J$49&gt;$A25+0.000001))=0,"",IF(SUMPRODUCT(('Hoạt động'!$A$5:$A$104=B$5)*('Hoạt động'!$B$5:$B$104&lt;=$A25+0.000001)*('Hoạt động'!$C$5:$C$104&gt;$A25+0.000001))+SUMPRODUCT(('Thông tin lớp học'!$H$10:$H$49=B$4)*('Thông tin lớp học'!$I$10:$I$49&lt;=$A25+0.000001)*('Thông tin lớp học'!$J$10:$J$49&gt;$A25+0.000001))&gt;1,"⚠ Trùng lịch",IF(SUMPRODUCT(('Hoạt động'!$A$5:$A$104=B$5)*('Hoạt động'!$B$5:$B$104&lt;=$A25+0.000001)*('Hoạt động'!$C$5:$C$104&gt;$A25+0.000001))=1,INDEX('Hoạt động'!$D$5:$D$104,SUMPRODUCT(('Hoạt động'!$A$5:$A$104=B$5)*('Hoạt động'!$B$5:$B$104&lt;=$A25+0.000001)*('Hoạt động'!$C$5:$C$104&gt;$A25+0.000001)*(ROW('Hoạt động'!$A$5:$A$104)-4))),INDEX('Thông tin lớp học'!$G$10:$G$49,SUMPRODUCT(('Thông tin lớp học'!$H$10:$H$49=B$4)*('Thông tin lớp học'!$I$10:$I$49&lt;=$A25+0.000001)*('Thông tin lớp học'!$J$10:$J$49&gt;$A25+0.000001)*(ROW('Thông tin lớp học'!$H$10:$H$49)-9))))))</f>
        <v/>
      </c>
      <c r="C25" s="123" t="str">
        <f t="array" ref="C25">IF(SUMPRODUCT(('Hoạt động'!$A$5:$A$104=C$5)*('Hoạt động'!$B$5:$B$104&lt;=$A25+0.000001)*('Hoạt động'!$C$5:$C$104&gt;$A25+0.000001))+SUMPRODUCT(('Thông tin lớp học'!$H$10:$H$49=C$4)*('Thông tin lớp học'!$I$10:$I$49&lt;=$A25+0.000001)*('Thông tin lớp học'!$J$10:$J$49&gt;$A25+0.000001))=0,"",IF(SUMPRODUCT(('Hoạt động'!$A$5:$A$104=C$5)*('Hoạt động'!$B$5:$B$104&lt;=$A25+0.000001)*('Hoạt động'!$C$5:$C$104&gt;$A25+0.000001))+SUMPRODUCT(('Thông tin lớp học'!$H$10:$H$49=C$4)*('Thông tin lớp học'!$I$10:$I$49&lt;=$A25+0.000001)*('Thông tin lớp học'!$J$10:$J$49&gt;$A25+0.000001))&gt;1,"⚠ Trùng lịch",IF(SUMPRODUCT(('Hoạt động'!$A$5:$A$104=C$5)*('Hoạt động'!$B$5:$B$104&lt;=$A25+0.000001)*('Hoạt động'!$C$5:$C$104&gt;$A25+0.000001))=1,INDEX('Hoạt động'!$D$5:$D$104,SUMPRODUCT(('Hoạt động'!$A$5:$A$104=C$5)*('Hoạt động'!$B$5:$B$104&lt;=$A25+0.000001)*('Hoạt động'!$C$5:$C$104&gt;$A25+0.000001)*(ROW('Hoạt động'!$A$5:$A$104)-4))),INDEX('Thông tin lớp học'!$G$10:$G$49,SUMPRODUCT(('Thông tin lớp học'!$H$10:$H$49=C$4)*('Thông tin lớp học'!$I$10:$I$49&lt;=$A25+0.000001)*('Thông tin lớp học'!$J$10:$J$49&gt;$A25+0.000001)*(ROW('Thông tin lớp học'!$H$10:$H$49)-9))))))</f>
        <v/>
      </c>
      <c r="D25" s="123" t="str">
        <f t="array" ref="D25">IF(SUMPRODUCT(('Hoạt động'!$A$5:$A$104=D$5)*('Hoạt động'!$B$5:$B$104&lt;=$A25+0.000001)*('Hoạt động'!$C$5:$C$104&gt;$A25+0.000001))+SUMPRODUCT(('Thông tin lớp học'!$H$10:$H$49=D$4)*('Thông tin lớp học'!$I$10:$I$49&lt;=$A25+0.000001)*('Thông tin lớp học'!$J$10:$J$49&gt;$A25+0.000001))=0,"",IF(SUMPRODUCT(('Hoạt động'!$A$5:$A$104=D$5)*('Hoạt động'!$B$5:$B$104&lt;=$A25+0.000001)*('Hoạt động'!$C$5:$C$104&gt;$A25+0.000001))+SUMPRODUCT(('Thông tin lớp học'!$H$10:$H$49=D$4)*('Thông tin lớp học'!$I$10:$I$49&lt;=$A25+0.000001)*('Thông tin lớp học'!$J$10:$J$49&gt;$A25+0.000001))&gt;1,"⚠ Trùng lịch",IF(SUMPRODUCT(('Hoạt động'!$A$5:$A$104=D$5)*('Hoạt động'!$B$5:$B$104&lt;=$A25+0.000001)*('Hoạt động'!$C$5:$C$104&gt;$A25+0.000001))=1,INDEX('Hoạt động'!$D$5:$D$104,SUMPRODUCT(('Hoạt động'!$A$5:$A$104=D$5)*('Hoạt động'!$B$5:$B$104&lt;=$A25+0.000001)*('Hoạt động'!$C$5:$C$104&gt;$A25+0.000001)*(ROW('Hoạt động'!$A$5:$A$104)-4))),INDEX('Thông tin lớp học'!$G$10:$G$49,SUMPRODUCT(('Thông tin lớp học'!$H$10:$H$49=D$4)*('Thông tin lớp học'!$I$10:$I$49&lt;=$A25+0.000001)*('Thông tin lớp học'!$J$10:$J$49&gt;$A25+0.000001)*(ROW('Thông tin lớp học'!$H$10:$H$49)-9))))))</f>
        <v/>
      </c>
      <c r="E25" s="123" t="str">
        <f t="array" ref="E25">IF(SUMPRODUCT(('Hoạt động'!$A$5:$A$104=E$5)*('Hoạt động'!$B$5:$B$104&lt;=$A25+0.000001)*('Hoạt động'!$C$5:$C$104&gt;$A25+0.000001))+SUMPRODUCT(('Thông tin lớp học'!$H$10:$H$49=E$4)*('Thông tin lớp học'!$I$10:$I$49&lt;=$A25+0.000001)*('Thông tin lớp học'!$J$10:$J$49&gt;$A25+0.000001))=0,"",IF(SUMPRODUCT(('Hoạt động'!$A$5:$A$104=E$5)*('Hoạt động'!$B$5:$B$104&lt;=$A25+0.000001)*('Hoạt động'!$C$5:$C$104&gt;$A25+0.000001))+SUMPRODUCT(('Thông tin lớp học'!$H$10:$H$49=E$4)*('Thông tin lớp học'!$I$10:$I$49&lt;=$A25+0.000001)*('Thông tin lớp học'!$J$10:$J$49&gt;$A25+0.000001))&gt;1,"⚠ Trùng lịch",IF(SUMPRODUCT(('Hoạt động'!$A$5:$A$104=E$5)*('Hoạt động'!$B$5:$B$104&lt;=$A25+0.000001)*('Hoạt động'!$C$5:$C$104&gt;$A25+0.000001))=1,INDEX('Hoạt động'!$D$5:$D$104,SUMPRODUCT(('Hoạt động'!$A$5:$A$104=E$5)*('Hoạt động'!$B$5:$B$104&lt;=$A25+0.000001)*('Hoạt động'!$C$5:$C$104&gt;$A25+0.000001)*(ROW('Hoạt động'!$A$5:$A$104)-4))),INDEX('Thông tin lớp học'!$G$10:$G$49,SUMPRODUCT(('Thông tin lớp học'!$H$10:$H$49=E$4)*('Thông tin lớp học'!$I$10:$I$49&lt;=$A25+0.000001)*('Thông tin lớp học'!$J$10:$J$49&gt;$A25+0.000001)*(ROW('Thông tin lớp học'!$H$10:$H$49)-9))))))</f>
        <v/>
      </c>
      <c r="F25" s="123" t="str">
        <f t="array" ref="F25">IF(SUMPRODUCT(('Hoạt động'!$A$5:$A$104=F$5)*('Hoạt động'!$B$5:$B$104&lt;=$A25+0.000001)*('Hoạt động'!$C$5:$C$104&gt;$A25+0.000001))+SUMPRODUCT(('Thông tin lớp học'!$H$10:$H$49=F$4)*('Thông tin lớp học'!$I$10:$I$49&lt;=$A25+0.000001)*('Thông tin lớp học'!$J$10:$J$49&gt;$A25+0.000001))=0,"",IF(SUMPRODUCT(('Hoạt động'!$A$5:$A$104=F$5)*('Hoạt động'!$B$5:$B$104&lt;=$A25+0.000001)*('Hoạt động'!$C$5:$C$104&gt;$A25+0.000001))+SUMPRODUCT(('Thông tin lớp học'!$H$10:$H$49=F$4)*('Thông tin lớp học'!$I$10:$I$49&lt;=$A25+0.000001)*('Thông tin lớp học'!$J$10:$J$49&gt;$A25+0.000001))&gt;1,"⚠ Trùng lịch",IF(SUMPRODUCT(('Hoạt động'!$A$5:$A$104=F$5)*('Hoạt động'!$B$5:$B$104&lt;=$A25+0.000001)*('Hoạt động'!$C$5:$C$104&gt;$A25+0.000001))=1,INDEX('Hoạt động'!$D$5:$D$104,SUMPRODUCT(('Hoạt động'!$A$5:$A$104=F$5)*('Hoạt động'!$B$5:$B$104&lt;=$A25+0.000001)*('Hoạt động'!$C$5:$C$104&gt;$A25+0.000001)*(ROW('Hoạt động'!$A$5:$A$104)-4))),INDEX('Thông tin lớp học'!$G$10:$G$49,SUMPRODUCT(('Thông tin lớp học'!$H$10:$H$49=F$4)*('Thông tin lớp học'!$I$10:$I$49&lt;=$A25+0.000001)*('Thông tin lớp học'!$J$10:$J$49&gt;$A25+0.000001)*(ROW('Thông tin lớp học'!$H$10:$H$49)-9))))))</f>
        <v>Kỹ năng mềm</v>
      </c>
      <c r="G25" s="123" t="str">
        <f t="array" ref="G25">IF(SUMPRODUCT(('Hoạt động'!$A$5:$A$104=G$5)*('Hoạt động'!$B$5:$B$104&lt;=$A25+0.000001)*('Hoạt động'!$C$5:$C$104&gt;$A25+0.000001))+SUMPRODUCT(('Thông tin lớp học'!$H$10:$H$49=G$4)*('Thông tin lớp học'!$I$10:$I$49&lt;=$A25+0.000001)*('Thông tin lớp học'!$J$10:$J$49&gt;$A25+0.000001))=0,"",IF(SUMPRODUCT(('Hoạt động'!$A$5:$A$104=G$5)*('Hoạt động'!$B$5:$B$104&lt;=$A25+0.000001)*('Hoạt động'!$C$5:$C$104&gt;$A25+0.000001))+SUMPRODUCT(('Thông tin lớp học'!$H$10:$H$49=G$4)*('Thông tin lớp học'!$I$10:$I$49&lt;=$A25+0.000001)*('Thông tin lớp học'!$J$10:$J$49&gt;$A25+0.000001))&gt;1,"⚠ Trùng lịch",IF(SUMPRODUCT(('Hoạt động'!$A$5:$A$104=G$5)*('Hoạt động'!$B$5:$B$104&lt;=$A25+0.000001)*('Hoạt động'!$C$5:$C$104&gt;$A25+0.000001))=1,INDEX('Hoạt động'!$D$5:$D$104,SUMPRODUCT(('Hoạt động'!$A$5:$A$104=G$5)*('Hoạt động'!$B$5:$B$104&lt;=$A25+0.000001)*('Hoạt động'!$C$5:$C$104&gt;$A25+0.000001)*(ROW('Hoạt động'!$A$5:$A$104)-4))),INDEX('Thông tin lớp học'!$G$10:$G$49,SUMPRODUCT(('Thông tin lớp học'!$H$10:$H$49=G$4)*('Thông tin lớp học'!$I$10:$I$49&lt;=$A25+0.000001)*('Thông tin lớp học'!$J$10:$J$49&gt;$A25+0.000001)*(ROW('Thông tin lớp học'!$H$10:$H$49)-9))))))</f>
        <v/>
      </c>
      <c r="H25" s="123" t="str">
        <f t="array" ref="H25">IF(SUMPRODUCT(('Hoạt động'!$A$5:$A$104=H$5)*('Hoạt động'!$B$5:$B$104&lt;=$A25+0.000001)*('Hoạt động'!$C$5:$C$104&gt;$A25+0.000001))+SUMPRODUCT(('Thông tin lớp học'!$H$10:$H$49=H$4)*('Thông tin lớp học'!$I$10:$I$49&lt;=$A25+0.000001)*('Thông tin lớp học'!$J$10:$J$49&gt;$A25+0.000001))=0,"",IF(SUMPRODUCT(('Hoạt động'!$A$5:$A$104=H$5)*('Hoạt động'!$B$5:$B$104&lt;=$A25+0.000001)*('Hoạt động'!$C$5:$C$104&gt;$A25+0.000001))+SUMPRODUCT(('Thông tin lớp học'!$H$10:$H$49=H$4)*('Thông tin lớp học'!$I$10:$I$49&lt;=$A25+0.000001)*('Thông tin lớp học'!$J$10:$J$49&gt;$A25+0.000001))&gt;1,"⚠ Trùng lịch",IF(SUMPRODUCT(('Hoạt động'!$A$5:$A$104=H$5)*('Hoạt động'!$B$5:$B$104&lt;=$A25+0.000001)*('Hoạt động'!$C$5:$C$104&gt;$A25+0.000001))=1,INDEX('Hoạt động'!$D$5:$D$104,SUMPRODUCT(('Hoạt động'!$A$5:$A$104=H$5)*('Hoạt động'!$B$5:$B$104&lt;=$A25+0.000001)*('Hoạt động'!$C$5:$C$104&gt;$A25+0.000001)*(ROW('Hoạt động'!$A$5:$A$104)-4))),INDEX('Thông tin lớp học'!$G$10:$G$49,SUMPRODUCT(('Thông tin lớp học'!$H$10:$H$49=H$4)*('Thông tin lớp học'!$I$10:$I$49&lt;=$A25+0.000001)*('Thông tin lớp học'!$J$10:$J$49&gt;$A25+0.000001)*(ROW('Thông tin lớp học'!$H$10:$H$49)-9))))))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16">
        <v>0.666666666666667</v>
      </c>
      <c r="B26" s="123" t="str">
        <f t="array" ref="B26">IF(SUMPRODUCT(('Hoạt động'!$A$5:$A$104=B$5)*('Hoạt động'!$B$5:$B$104&lt;=$A26+0.000001)*('Hoạt động'!$C$5:$C$104&gt;$A26+0.000001))+SUMPRODUCT(('Thông tin lớp học'!$H$10:$H$49=B$4)*('Thông tin lớp học'!$I$10:$I$49&lt;=$A26+0.000001)*('Thông tin lớp học'!$J$10:$J$49&gt;$A26+0.000001))=0,"",IF(SUMPRODUCT(('Hoạt động'!$A$5:$A$104=B$5)*('Hoạt động'!$B$5:$B$104&lt;=$A26+0.000001)*('Hoạt động'!$C$5:$C$104&gt;$A26+0.000001))+SUMPRODUCT(('Thông tin lớp học'!$H$10:$H$49=B$4)*('Thông tin lớp học'!$I$10:$I$49&lt;=$A26+0.000001)*('Thông tin lớp học'!$J$10:$J$49&gt;$A26+0.000001))&gt;1,"⚠ Trùng lịch",IF(SUMPRODUCT(('Hoạt động'!$A$5:$A$104=B$5)*('Hoạt động'!$B$5:$B$104&lt;=$A26+0.000001)*('Hoạt động'!$C$5:$C$104&gt;$A26+0.000001))=1,INDEX('Hoạt động'!$D$5:$D$104,SUMPRODUCT(('Hoạt động'!$A$5:$A$104=B$5)*('Hoạt động'!$B$5:$B$104&lt;=$A26+0.000001)*('Hoạt động'!$C$5:$C$104&gt;$A26+0.000001)*(ROW('Hoạt động'!$A$5:$A$104)-4))),INDEX('Thông tin lớp học'!$G$10:$G$49,SUMPRODUCT(('Thông tin lớp học'!$H$10:$H$49=B$4)*('Thông tin lớp học'!$I$10:$I$49&lt;=$A26+0.000001)*('Thông tin lớp học'!$J$10:$J$49&gt;$A26+0.000001)*(ROW('Thông tin lớp học'!$H$10:$H$49)-9))))))</f>
        <v/>
      </c>
      <c r="C26" s="123" t="str">
        <f t="array" ref="C26">IF(SUMPRODUCT(('Hoạt động'!$A$5:$A$104=C$5)*('Hoạt động'!$B$5:$B$104&lt;=$A26+0.000001)*('Hoạt động'!$C$5:$C$104&gt;$A26+0.000001))+SUMPRODUCT(('Thông tin lớp học'!$H$10:$H$49=C$4)*('Thông tin lớp học'!$I$10:$I$49&lt;=$A26+0.000001)*('Thông tin lớp học'!$J$10:$J$49&gt;$A26+0.000001))=0,"",IF(SUMPRODUCT(('Hoạt động'!$A$5:$A$104=C$5)*('Hoạt động'!$B$5:$B$104&lt;=$A26+0.000001)*('Hoạt động'!$C$5:$C$104&gt;$A26+0.000001))+SUMPRODUCT(('Thông tin lớp học'!$H$10:$H$49=C$4)*('Thông tin lớp học'!$I$10:$I$49&lt;=$A26+0.000001)*('Thông tin lớp học'!$J$10:$J$49&gt;$A26+0.000001))&gt;1,"⚠ Trùng lịch",IF(SUMPRODUCT(('Hoạt động'!$A$5:$A$104=C$5)*('Hoạt động'!$B$5:$B$104&lt;=$A26+0.000001)*('Hoạt động'!$C$5:$C$104&gt;$A26+0.000001))=1,INDEX('Hoạt động'!$D$5:$D$104,SUMPRODUCT(('Hoạt động'!$A$5:$A$104=C$5)*('Hoạt động'!$B$5:$B$104&lt;=$A26+0.000001)*('Hoạt động'!$C$5:$C$104&gt;$A26+0.000001)*(ROW('Hoạt động'!$A$5:$A$104)-4))),INDEX('Thông tin lớp học'!$G$10:$G$49,SUMPRODUCT(('Thông tin lớp học'!$H$10:$H$49=C$4)*('Thông tin lớp học'!$I$10:$I$49&lt;=$A26+0.000001)*('Thông tin lớp học'!$J$10:$J$49&gt;$A26+0.000001)*(ROW('Thông tin lớp học'!$H$10:$H$49)-9))))))</f>
        <v/>
      </c>
      <c r="D26" s="123" t="str">
        <f t="array" ref="D26">IF(SUMPRODUCT(('Hoạt động'!$A$5:$A$104=D$5)*('Hoạt động'!$B$5:$B$104&lt;=$A26+0.000001)*('Hoạt động'!$C$5:$C$104&gt;$A26+0.000001))+SUMPRODUCT(('Thông tin lớp học'!$H$10:$H$49=D$4)*('Thông tin lớp học'!$I$10:$I$49&lt;=$A26+0.000001)*('Thông tin lớp học'!$J$10:$J$49&gt;$A26+0.000001))=0,"",IF(SUMPRODUCT(('Hoạt động'!$A$5:$A$104=D$5)*('Hoạt động'!$B$5:$B$104&lt;=$A26+0.000001)*('Hoạt động'!$C$5:$C$104&gt;$A26+0.000001))+SUMPRODUCT(('Thông tin lớp học'!$H$10:$H$49=D$4)*('Thông tin lớp học'!$I$10:$I$49&lt;=$A26+0.000001)*('Thông tin lớp học'!$J$10:$J$49&gt;$A26+0.000001))&gt;1,"⚠ Trùng lịch",IF(SUMPRODUCT(('Hoạt động'!$A$5:$A$104=D$5)*('Hoạt động'!$B$5:$B$104&lt;=$A26+0.000001)*('Hoạt động'!$C$5:$C$104&gt;$A26+0.000001))=1,INDEX('Hoạt động'!$D$5:$D$104,SUMPRODUCT(('Hoạt động'!$A$5:$A$104=D$5)*('Hoạt động'!$B$5:$B$104&lt;=$A26+0.000001)*('Hoạt động'!$C$5:$C$104&gt;$A26+0.000001)*(ROW('Hoạt động'!$A$5:$A$104)-4))),INDEX('Thông tin lớp học'!$G$10:$G$49,SUMPRODUCT(('Thông tin lớp học'!$H$10:$H$49=D$4)*('Thông tin lớp học'!$I$10:$I$49&lt;=$A26+0.000001)*('Thông tin lớp học'!$J$10:$J$49&gt;$A26+0.000001)*(ROW('Thông tin lớp học'!$H$10:$H$49)-9))))))</f>
        <v/>
      </c>
      <c r="E26" s="123" t="str">
        <f t="array" ref="E26">IF(SUMPRODUCT(('Hoạt động'!$A$5:$A$104=E$5)*('Hoạt động'!$B$5:$B$104&lt;=$A26+0.000001)*('Hoạt động'!$C$5:$C$104&gt;$A26+0.000001))+SUMPRODUCT(('Thông tin lớp học'!$H$10:$H$49=E$4)*('Thông tin lớp học'!$I$10:$I$49&lt;=$A26+0.000001)*('Thông tin lớp học'!$J$10:$J$49&gt;$A26+0.000001))=0,"",IF(SUMPRODUCT(('Hoạt động'!$A$5:$A$104=E$5)*('Hoạt động'!$B$5:$B$104&lt;=$A26+0.000001)*('Hoạt động'!$C$5:$C$104&gt;$A26+0.000001))+SUMPRODUCT(('Thông tin lớp học'!$H$10:$H$49=E$4)*('Thông tin lớp học'!$I$10:$I$49&lt;=$A26+0.000001)*('Thông tin lớp học'!$J$10:$J$49&gt;$A26+0.000001))&gt;1,"⚠ Trùng lịch",IF(SUMPRODUCT(('Hoạt động'!$A$5:$A$104=E$5)*('Hoạt động'!$B$5:$B$104&lt;=$A26+0.000001)*('Hoạt động'!$C$5:$C$104&gt;$A26+0.000001))=1,INDEX('Hoạt động'!$D$5:$D$104,SUMPRODUCT(('Hoạt động'!$A$5:$A$104=E$5)*('Hoạt động'!$B$5:$B$104&lt;=$A26+0.000001)*('Hoạt động'!$C$5:$C$104&gt;$A26+0.000001)*(ROW('Hoạt động'!$A$5:$A$104)-4))),INDEX('Thông tin lớp học'!$G$10:$G$49,SUMPRODUCT(('Thông tin lớp học'!$H$10:$H$49=E$4)*('Thông tin lớp học'!$I$10:$I$49&lt;=$A26+0.000001)*('Thông tin lớp học'!$J$10:$J$49&gt;$A26+0.000001)*(ROW('Thông tin lớp học'!$H$10:$H$49)-9))))))</f>
        <v/>
      </c>
      <c r="F26" s="123" t="str">
        <f t="array" ref="F26">IF(SUMPRODUCT(('Hoạt động'!$A$5:$A$104=F$5)*('Hoạt động'!$B$5:$B$104&lt;=$A26+0.000001)*('Hoạt động'!$C$5:$C$104&gt;$A26+0.000001))+SUMPRODUCT(('Thông tin lớp học'!$H$10:$H$49=F$4)*('Thông tin lớp học'!$I$10:$I$49&lt;=$A26+0.000001)*('Thông tin lớp học'!$J$10:$J$49&gt;$A26+0.000001))=0,"",IF(SUMPRODUCT(('Hoạt động'!$A$5:$A$104=F$5)*('Hoạt động'!$B$5:$B$104&lt;=$A26+0.000001)*('Hoạt động'!$C$5:$C$104&gt;$A26+0.000001))+SUMPRODUCT(('Thông tin lớp học'!$H$10:$H$49=F$4)*('Thông tin lớp học'!$I$10:$I$49&lt;=$A26+0.000001)*('Thông tin lớp học'!$J$10:$J$49&gt;$A26+0.000001))&gt;1,"⚠ Trùng lịch",IF(SUMPRODUCT(('Hoạt động'!$A$5:$A$104=F$5)*('Hoạt động'!$B$5:$B$104&lt;=$A26+0.000001)*('Hoạt động'!$C$5:$C$104&gt;$A26+0.000001))=1,INDEX('Hoạt động'!$D$5:$D$104,SUMPRODUCT(('Hoạt động'!$A$5:$A$104=F$5)*('Hoạt động'!$B$5:$B$104&lt;=$A26+0.000001)*('Hoạt động'!$C$5:$C$104&gt;$A26+0.000001)*(ROW('Hoạt động'!$A$5:$A$104)-4))),INDEX('Thông tin lớp học'!$G$10:$G$49,SUMPRODUCT(('Thông tin lớp học'!$H$10:$H$49=F$4)*('Thông tin lớp học'!$I$10:$I$49&lt;=$A26+0.000001)*('Thông tin lớp học'!$J$10:$J$49&gt;$A26+0.000001)*(ROW('Thông tin lớp học'!$H$10:$H$49)-9))))))</f>
        <v/>
      </c>
      <c r="G26" s="123" t="str">
        <f t="array" ref="G26">IF(SUMPRODUCT(('Hoạt động'!$A$5:$A$104=G$5)*('Hoạt động'!$B$5:$B$104&lt;=$A26+0.000001)*('Hoạt động'!$C$5:$C$104&gt;$A26+0.000001))+SUMPRODUCT(('Thông tin lớp học'!$H$10:$H$49=G$4)*('Thông tin lớp học'!$I$10:$I$49&lt;=$A26+0.000001)*('Thông tin lớp học'!$J$10:$J$49&gt;$A26+0.000001))=0,"",IF(SUMPRODUCT(('Hoạt động'!$A$5:$A$104=G$5)*('Hoạt động'!$B$5:$B$104&lt;=$A26+0.000001)*('Hoạt động'!$C$5:$C$104&gt;$A26+0.000001))+SUMPRODUCT(('Thông tin lớp học'!$H$10:$H$49=G$4)*('Thông tin lớp học'!$I$10:$I$49&lt;=$A26+0.000001)*('Thông tin lớp học'!$J$10:$J$49&gt;$A26+0.000001))&gt;1,"⚠ Trùng lịch",IF(SUMPRODUCT(('Hoạt động'!$A$5:$A$104=G$5)*('Hoạt động'!$B$5:$B$104&lt;=$A26+0.000001)*('Hoạt động'!$C$5:$C$104&gt;$A26+0.000001))=1,INDEX('Hoạt động'!$D$5:$D$104,SUMPRODUCT(('Hoạt động'!$A$5:$A$104=G$5)*('Hoạt động'!$B$5:$B$104&lt;=$A26+0.000001)*('Hoạt động'!$C$5:$C$104&gt;$A26+0.000001)*(ROW('Hoạt động'!$A$5:$A$104)-4))),INDEX('Thông tin lớp học'!$G$10:$G$49,SUMPRODUCT(('Thông tin lớp học'!$H$10:$H$49=G$4)*('Thông tin lớp học'!$I$10:$I$49&lt;=$A26+0.000001)*('Thông tin lớp học'!$J$10:$J$49&gt;$A26+0.000001)*(ROW('Thông tin lớp học'!$H$10:$H$49)-9))))))</f>
        <v/>
      </c>
      <c r="H26" s="123" t="str">
        <f t="array" ref="H26">IF(SUMPRODUCT(('Hoạt động'!$A$5:$A$104=H$5)*('Hoạt động'!$B$5:$B$104&lt;=$A26+0.000001)*('Hoạt động'!$C$5:$C$104&gt;$A26+0.000001))+SUMPRODUCT(('Thông tin lớp học'!$H$10:$H$49=H$4)*('Thông tin lớp học'!$I$10:$I$49&lt;=$A26+0.000001)*('Thông tin lớp học'!$J$10:$J$49&gt;$A26+0.000001))=0,"",IF(SUMPRODUCT(('Hoạt động'!$A$5:$A$104=H$5)*('Hoạt động'!$B$5:$B$104&lt;=$A26+0.000001)*('Hoạt động'!$C$5:$C$104&gt;$A26+0.000001))+SUMPRODUCT(('Thông tin lớp học'!$H$10:$H$49=H$4)*('Thông tin lớp học'!$I$10:$I$49&lt;=$A26+0.000001)*('Thông tin lớp học'!$J$10:$J$49&gt;$A26+0.000001))&gt;1,"⚠ Trùng lịch",IF(SUMPRODUCT(('Hoạt động'!$A$5:$A$104=H$5)*('Hoạt động'!$B$5:$B$104&lt;=$A26+0.000001)*('Hoạt động'!$C$5:$C$104&gt;$A26+0.000001))=1,INDEX('Hoạt động'!$D$5:$D$104,SUMPRODUCT(('Hoạt động'!$A$5:$A$104=H$5)*('Hoạt động'!$B$5:$B$104&lt;=$A26+0.000001)*('Hoạt động'!$C$5:$C$104&gt;$A26+0.000001)*(ROW('Hoạt động'!$A$5:$A$104)-4))),INDEX('Thông tin lớp học'!$G$10:$G$49,SUMPRODUCT(('Thông tin lớp học'!$H$10:$H$49=H$4)*('Thông tin lớp học'!$I$10:$I$49&lt;=$A26+0.000001)*('Thông tin lớp học'!$J$10:$J$49&gt;$A26+0.000001)*(ROW('Thông tin lớp học'!$H$10:$H$49)-9))))))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16">
        <v>0.6875</v>
      </c>
      <c r="B27" s="123" t="str">
        <f t="array" ref="B27">IF(SUMPRODUCT(('Hoạt động'!$A$5:$A$104=B$5)*('Hoạt động'!$B$5:$B$104&lt;=$A27+0.000001)*('Hoạt động'!$C$5:$C$104&gt;$A27+0.000001))+SUMPRODUCT(('Thông tin lớp học'!$H$10:$H$49=B$4)*('Thông tin lớp học'!$I$10:$I$49&lt;=$A27+0.000001)*('Thông tin lớp học'!$J$10:$J$49&gt;$A27+0.000001))=0,"",IF(SUMPRODUCT(('Hoạt động'!$A$5:$A$104=B$5)*('Hoạt động'!$B$5:$B$104&lt;=$A27+0.000001)*('Hoạt động'!$C$5:$C$104&gt;$A27+0.000001))+SUMPRODUCT(('Thông tin lớp học'!$H$10:$H$49=B$4)*('Thông tin lớp học'!$I$10:$I$49&lt;=$A27+0.000001)*('Thông tin lớp học'!$J$10:$J$49&gt;$A27+0.000001))&gt;1,"⚠ Trùng lịch",IF(SUMPRODUCT(('Hoạt động'!$A$5:$A$104=B$5)*('Hoạt động'!$B$5:$B$104&lt;=$A27+0.000001)*('Hoạt động'!$C$5:$C$104&gt;$A27+0.000001))=1,INDEX('Hoạt động'!$D$5:$D$104,SUMPRODUCT(('Hoạt động'!$A$5:$A$104=B$5)*('Hoạt động'!$B$5:$B$104&lt;=$A27+0.000001)*('Hoạt động'!$C$5:$C$104&gt;$A27+0.000001)*(ROW('Hoạt động'!$A$5:$A$104)-4))),INDEX('Thông tin lớp học'!$G$10:$G$49,SUMPRODUCT(('Thông tin lớp học'!$H$10:$H$49=B$4)*('Thông tin lớp học'!$I$10:$I$49&lt;=$A27+0.000001)*('Thông tin lớp học'!$J$10:$J$49&gt;$A27+0.000001)*(ROW('Thông tin lớp học'!$H$10:$H$49)-9))))))</f>
        <v/>
      </c>
      <c r="C27" s="123" t="str">
        <f t="array" ref="C27">IF(SUMPRODUCT(('Hoạt động'!$A$5:$A$104=C$5)*('Hoạt động'!$B$5:$B$104&lt;=$A27+0.000001)*('Hoạt động'!$C$5:$C$104&gt;$A27+0.000001))+SUMPRODUCT(('Thông tin lớp học'!$H$10:$H$49=C$4)*('Thông tin lớp học'!$I$10:$I$49&lt;=$A27+0.000001)*('Thông tin lớp học'!$J$10:$J$49&gt;$A27+0.000001))=0,"",IF(SUMPRODUCT(('Hoạt động'!$A$5:$A$104=C$5)*('Hoạt động'!$B$5:$B$104&lt;=$A27+0.000001)*('Hoạt động'!$C$5:$C$104&gt;$A27+0.000001))+SUMPRODUCT(('Thông tin lớp học'!$H$10:$H$49=C$4)*('Thông tin lớp học'!$I$10:$I$49&lt;=$A27+0.000001)*('Thông tin lớp học'!$J$10:$J$49&gt;$A27+0.000001))&gt;1,"⚠ Trùng lịch",IF(SUMPRODUCT(('Hoạt động'!$A$5:$A$104=C$5)*('Hoạt động'!$B$5:$B$104&lt;=$A27+0.000001)*('Hoạt động'!$C$5:$C$104&gt;$A27+0.000001))=1,INDEX('Hoạt động'!$D$5:$D$104,SUMPRODUCT(('Hoạt động'!$A$5:$A$104=C$5)*('Hoạt động'!$B$5:$B$104&lt;=$A27+0.000001)*('Hoạt động'!$C$5:$C$104&gt;$A27+0.000001)*(ROW('Hoạt động'!$A$5:$A$104)-4))),INDEX('Thông tin lớp học'!$G$10:$G$49,SUMPRODUCT(('Thông tin lớp học'!$H$10:$H$49=C$4)*('Thông tin lớp học'!$I$10:$I$49&lt;=$A27+0.000001)*('Thông tin lớp học'!$J$10:$J$49&gt;$A27+0.000001)*(ROW('Thông tin lớp học'!$H$10:$H$49)-9))))))</f>
        <v/>
      </c>
      <c r="D27" s="123" t="str">
        <f t="array" ref="D27">IF(SUMPRODUCT(('Hoạt động'!$A$5:$A$104=D$5)*('Hoạt động'!$B$5:$B$104&lt;=$A27+0.000001)*('Hoạt động'!$C$5:$C$104&gt;$A27+0.000001))+SUMPRODUCT(('Thông tin lớp học'!$H$10:$H$49=D$4)*('Thông tin lớp học'!$I$10:$I$49&lt;=$A27+0.000001)*('Thông tin lớp học'!$J$10:$J$49&gt;$A27+0.000001))=0,"",IF(SUMPRODUCT(('Hoạt động'!$A$5:$A$104=D$5)*('Hoạt động'!$B$5:$B$104&lt;=$A27+0.000001)*('Hoạt động'!$C$5:$C$104&gt;$A27+0.000001))+SUMPRODUCT(('Thông tin lớp học'!$H$10:$H$49=D$4)*('Thông tin lớp học'!$I$10:$I$49&lt;=$A27+0.000001)*('Thông tin lớp học'!$J$10:$J$49&gt;$A27+0.000001))&gt;1,"⚠ Trùng lịch",IF(SUMPRODUCT(('Hoạt động'!$A$5:$A$104=D$5)*('Hoạt động'!$B$5:$B$104&lt;=$A27+0.000001)*('Hoạt động'!$C$5:$C$104&gt;$A27+0.000001))=1,INDEX('Hoạt động'!$D$5:$D$104,SUMPRODUCT(('Hoạt động'!$A$5:$A$104=D$5)*('Hoạt động'!$B$5:$B$104&lt;=$A27+0.000001)*('Hoạt động'!$C$5:$C$104&gt;$A27+0.000001)*(ROW('Hoạt động'!$A$5:$A$104)-4))),INDEX('Thông tin lớp học'!$G$10:$G$49,SUMPRODUCT(('Thông tin lớp học'!$H$10:$H$49=D$4)*('Thông tin lớp học'!$I$10:$I$49&lt;=$A27+0.000001)*('Thông tin lớp học'!$J$10:$J$49&gt;$A27+0.000001)*(ROW('Thông tin lớp học'!$H$10:$H$49)-9))))))</f>
        <v/>
      </c>
      <c r="E27" s="123" t="str">
        <f t="array" ref="E27">IF(SUMPRODUCT(('Hoạt động'!$A$5:$A$104=E$5)*('Hoạt động'!$B$5:$B$104&lt;=$A27+0.000001)*('Hoạt động'!$C$5:$C$104&gt;$A27+0.000001))+SUMPRODUCT(('Thông tin lớp học'!$H$10:$H$49=E$4)*('Thông tin lớp học'!$I$10:$I$49&lt;=$A27+0.000001)*('Thông tin lớp học'!$J$10:$J$49&gt;$A27+0.000001))=0,"",IF(SUMPRODUCT(('Hoạt động'!$A$5:$A$104=E$5)*('Hoạt động'!$B$5:$B$104&lt;=$A27+0.000001)*('Hoạt động'!$C$5:$C$104&gt;$A27+0.000001))+SUMPRODUCT(('Thông tin lớp học'!$H$10:$H$49=E$4)*('Thông tin lớp học'!$I$10:$I$49&lt;=$A27+0.000001)*('Thông tin lớp học'!$J$10:$J$49&gt;$A27+0.000001))&gt;1,"⚠ Trùng lịch",IF(SUMPRODUCT(('Hoạt động'!$A$5:$A$104=E$5)*('Hoạt động'!$B$5:$B$104&lt;=$A27+0.000001)*('Hoạt động'!$C$5:$C$104&gt;$A27+0.000001))=1,INDEX('Hoạt động'!$D$5:$D$104,SUMPRODUCT(('Hoạt động'!$A$5:$A$104=E$5)*('Hoạt động'!$B$5:$B$104&lt;=$A27+0.000001)*('Hoạt động'!$C$5:$C$104&gt;$A27+0.000001)*(ROW('Hoạt động'!$A$5:$A$104)-4))),INDEX('Thông tin lớp học'!$G$10:$G$49,SUMPRODUCT(('Thông tin lớp học'!$H$10:$H$49=E$4)*('Thông tin lớp học'!$I$10:$I$49&lt;=$A27+0.000001)*('Thông tin lớp học'!$J$10:$J$49&gt;$A27+0.000001)*(ROW('Thông tin lớp học'!$H$10:$H$49)-9))))))</f>
        <v/>
      </c>
      <c r="F27" s="123" t="str">
        <f t="array" ref="F27">IF(SUMPRODUCT(('Hoạt động'!$A$5:$A$104=F$5)*('Hoạt động'!$B$5:$B$104&lt;=$A27+0.000001)*('Hoạt động'!$C$5:$C$104&gt;$A27+0.000001))+SUMPRODUCT(('Thông tin lớp học'!$H$10:$H$49=F$4)*('Thông tin lớp học'!$I$10:$I$49&lt;=$A27+0.000001)*('Thông tin lớp học'!$J$10:$J$49&gt;$A27+0.000001))=0,"",IF(SUMPRODUCT(('Hoạt động'!$A$5:$A$104=F$5)*('Hoạt động'!$B$5:$B$104&lt;=$A27+0.000001)*('Hoạt động'!$C$5:$C$104&gt;$A27+0.000001))+SUMPRODUCT(('Thông tin lớp học'!$H$10:$H$49=F$4)*('Thông tin lớp học'!$I$10:$I$49&lt;=$A27+0.000001)*('Thông tin lớp học'!$J$10:$J$49&gt;$A27+0.000001))&gt;1,"⚠ Trùng lịch",IF(SUMPRODUCT(('Hoạt động'!$A$5:$A$104=F$5)*('Hoạt động'!$B$5:$B$104&lt;=$A27+0.000001)*('Hoạt động'!$C$5:$C$104&gt;$A27+0.000001))=1,INDEX('Hoạt động'!$D$5:$D$104,SUMPRODUCT(('Hoạt động'!$A$5:$A$104=F$5)*('Hoạt động'!$B$5:$B$104&lt;=$A27+0.000001)*('Hoạt động'!$C$5:$C$104&gt;$A27+0.000001)*(ROW('Hoạt động'!$A$5:$A$104)-4))),INDEX('Thông tin lớp học'!$G$10:$G$49,SUMPRODUCT(('Thông tin lớp học'!$H$10:$H$49=F$4)*('Thông tin lớp học'!$I$10:$I$49&lt;=$A27+0.000001)*('Thông tin lớp học'!$J$10:$J$49&gt;$A27+0.000001)*(ROW('Thông tin lớp học'!$H$10:$H$49)-9))))))</f>
        <v/>
      </c>
      <c r="G27" s="123" t="str">
        <f t="array" ref="G27">IF(SUMPRODUCT(('Hoạt động'!$A$5:$A$104=G$5)*('Hoạt động'!$B$5:$B$104&lt;=$A27+0.000001)*('Hoạt động'!$C$5:$C$104&gt;$A27+0.000001))+SUMPRODUCT(('Thông tin lớp học'!$H$10:$H$49=G$4)*('Thông tin lớp học'!$I$10:$I$49&lt;=$A27+0.000001)*('Thông tin lớp học'!$J$10:$J$49&gt;$A27+0.000001))=0,"",IF(SUMPRODUCT(('Hoạt động'!$A$5:$A$104=G$5)*('Hoạt động'!$B$5:$B$104&lt;=$A27+0.000001)*('Hoạt động'!$C$5:$C$104&gt;$A27+0.000001))+SUMPRODUCT(('Thông tin lớp học'!$H$10:$H$49=G$4)*('Thông tin lớp học'!$I$10:$I$49&lt;=$A27+0.000001)*('Thông tin lớp học'!$J$10:$J$49&gt;$A27+0.000001))&gt;1,"⚠ Trùng lịch",IF(SUMPRODUCT(('Hoạt động'!$A$5:$A$104=G$5)*('Hoạt động'!$B$5:$B$104&lt;=$A27+0.000001)*('Hoạt động'!$C$5:$C$104&gt;$A27+0.000001))=1,INDEX('Hoạt động'!$D$5:$D$104,SUMPRODUCT(('Hoạt động'!$A$5:$A$104=G$5)*('Hoạt động'!$B$5:$B$104&lt;=$A27+0.000001)*('Hoạt động'!$C$5:$C$104&gt;$A27+0.000001)*(ROW('Hoạt động'!$A$5:$A$104)-4))),INDEX('Thông tin lớp học'!$G$10:$G$49,SUMPRODUCT(('Thông tin lớp học'!$H$10:$H$49=G$4)*('Thông tin lớp học'!$I$10:$I$49&lt;=$A27+0.000001)*('Thông tin lớp học'!$J$10:$J$49&gt;$A27+0.000001)*(ROW('Thông tin lớp học'!$H$10:$H$49)-9))))))</f>
        <v/>
      </c>
      <c r="H27" s="123" t="str">
        <f t="array" ref="H27">IF(SUMPRODUCT(('Hoạt động'!$A$5:$A$104=H$5)*('Hoạt động'!$B$5:$B$104&lt;=$A27+0.000001)*('Hoạt động'!$C$5:$C$104&gt;$A27+0.000001))+SUMPRODUCT(('Thông tin lớp học'!$H$10:$H$49=H$4)*('Thông tin lớp học'!$I$10:$I$49&lt;=$A27+0.000001)*('Thông tin lớp học'!$J$10:$J$49&gt;$A27+0.000001))=0,"",IF(SUMPRODUCT(('Hoạt động'!$A$5:$A$104=H$5)*('Hoạt động'!$B$5:$B$104&lt;=$A27+0.000001)*('Hoạt động'!$C$5:$C$104&gt;$A27+0.000001))+SUMPRODUCT(('Thông tin lớp học'!$H$10:$H$49=H$4)*('Thông tin lớp học'!$I$10:$I$49&lt;=$A27+0.000001)*('Thông tin lớp học'!$J$10:$J$49&gt;$A27+0.000001))&gt;1,"⚠ Trùng lịch",IF(SUMPRODUCT(('Hoạt động'!$A$5:$A$104=H$5)*('Hoạt động'!$B$5:$B$104&lt;=$A27+0.000001)*('Hoạt động'!$C$5:$C$104&gt;$A27+0.000001))=1,INDEX('Hoạt động'!$D$5:$D$104,SUMPRODUCT(('Hoạt động'!$A$5:$A$104=H$5)*('Hoạt động'!$B$5:$B$104&lt;=$A27+0.000001)*('Hoạt động'!$C$5:$C$104&gt;$A27+0.000001)*(ROW('Hoạt động'!$A$5:$A$104)-4))),INDEX('Thông tin lớp học'!$G$10:$G$49,SUMPRODUCT(('Thông tin lớp học'!$H$10:$H$49=H$4)*('Thông tin lớp học'!$I$10:$I$49&lt;=$A27+0.000001)*('Thông tin lớp học'!$J$10:$J$49&gt;$A27+0.000001)*(ROW('Thông tin lớp học'!$H$10:$H$49)-9))))))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16">
        <v>0.708333333333333</v>
      </c>
      <c r="B28" s="123" t="str">
        <f t="array" ref="B28">IF(SUMPRODUCT(('Hoạt động'!$A$5:$A$104=B$5)*('Hoạt động'!$B$5:$B$104&lt;=$A28+0.000001)*('Hoạt động'!$C$5:$C$104&gt;$A28+0.000001))+SUMPRODUCT(('Thông tin lớp học'!$H$10:$H$49=B$4)*('Thông tin lớp học'!$I$10:$I$49&lt;=$A28+0.000001)*('Thông tin lớp học'!$J$10:$J$49&gt;$A28+0.000001))=0,"",IF(SUMPRODUCT(('Hoạt động'!$A$5:$A$104=B$5)*('Hoạt động'!$B$5:$B$104&lt;=$A28+0.000001)*('Hoạt động'!$C$5:$C$104&gt;$A28+0.000001))+SUMPRODUCT(('Thông tin lớp học'!$H$10:$H$49=B$4)*('Thông tin lớp học'!$I$10:$I$49&lt;=$A28+0.000001)*('Thông tin lớp học'!$J$10:$J$49&gt;$A28+0.000001))&gt;1,"⚠ Trùng lịch",IF(SUMPRODUCT(('Hoạt động'!$A$5:$A$104=B$5)*('Hoạt động'!$B$5:$B$104&lt;=$A28+0.000001)*('Hoạt động'!$C$5:$C$104&gt;$A28+0.000001))=1,INDEX('Hoạt động'!$D$5:$D$104,SUMPRODUCT(('Hoạt động'!$A$5:$A$104=B$5)*('Hoạt động'!$B$5:$B$104&lt;=$A28+0.000001)*('Hoạt động'!$C$5:$C$104&gt;$A28+0.000001)*(ROW('Hoạt động'!$A$5:$A$104)-4))),INDEX('Thông tin lớp học'!$G$10:$G$49,SUMPRODUCT(('Thông tin lớp học'!$H$10:$H$49=B$4)*('Thông tin lớp học'!$I$10:$I$49&lt;=$A28+0.000001)*('Thông tin lớp học'!$J$10:$J$49&gt;$A28+0.000001)*(ROW('Thông tin lớp học'!$H$10:$H$49)-9))))))</f>
        <v/>
      </c>
      <c r="C28" s="123" t="str">
        <f t="array" ref="C28">IF(SUMPRODUCT(('Hoạt động'!$A$5:$A$104=C$5)*('Hoạt động'!$B$5:$B$104&lt;=$A28+0.000001)*('Hoạt động'!$C$5:$C$104&gt;$A28+0.000001))+SUMPRODUCT(('Thông tin lớp học'!$H$10:$H$49=C$4)*('Thông tin lớp học'!$I$10:$I$49&lt;=$A28+0.000001)*('Thông tin lớp học'!$J$10:$J$49&gt;$A28+0.000001))=0,"",IF(SUMPRODUCT(('Hoạt động'!$A$5:$A$104=C$5)*('Hoạt động'!$B$5:$B$104&lt;=$A28+0.000001)*('Hoạt động'!$C$5:$C$104&gt;$A28+0.000001))+SUMPRODUCT(('Thông tin lớp học'!$H$10:$H$49=C$4)*('Thông tin lớp học'!$I$10:$I$49&lt;=$A28+0.000001)*('Thông tin lớp học'!$J$10:$J$49&gt;$A28+0.000001))&gt;1,"⚠ Trùng lịch",IF(SUMPRODUCT(('Hoạt động'!$A$5:$A$104=C$5)*('Hoạt động'!$B$5:$B$104&lt;=$A28+0.000001)*('Hoạt động'!$C$5:$C$104&gt;$A28+0.000001))=1,INDEX('Hoạt động'!$D$5:$D$104,SUMPRODUCT(('Hoạt động'!$A$5:$A$104=C$5)*('Hoạt động'!$B$5:$B$104&lt;=$A28+0.000001)*('Hoạt động'!$C$5:$C$104&gt;$A28+0.000001)*(ROW('Hoạt động'!$A$5:$A$104)-4))),INDEX('Thông tin lớp học'!$G$10:$G$49,SUMPRODUCT(('Thông tin lớp học'!$H$10:$H$49=C$4)*('Thông tin lớp học'!$I$10:$I$49&lt;=$A28+0.000001)*('Thông tin lớp học'!$J$10:$J$49&gt;$A28+0.000001)*(ROW('Thông tin lớp học'!$H$10:$H$49)-9))))))</f>
        <v/>
      </c>
      <c r="D28" s="123" t="str">
        <f t="array" ref="D28">IF(SUMPRODUCT(('Hoạt động'!$A$5:$A$104=D$5)*('Hoạt động'!$B$5:$B$104&lt;=$A28+0.000001)*('Hoạt động'!$C$5:$C$104&gt;$A28+0.000001))+SUMPRODUCT(('Thông tin lớp học'!$H$10:$H$49=D$4)*('Thông tin lớp học'!$I$10:$I$49&lt;=$A28+0.000001)*('Thông tin lớp học'!$J$10:$J$49&gt;$A28+0.000001))=0,"",IF(SUMPRODUCT(('Hoạt động'!$A$5:$A$104=D$5)*('Hoạt động'!$B$5:$B$104&lt;=$A28+0.000001)*('Hoạt động'!$C$5:$C$104&gt;$A28+0.000001))+SUMPRODUCT(('Thông tin lớp học'!$H$10:$H$49=D$4)*('Thông tin lớp học'!$I$10:$I$49&lt;=$A28+0.000001)*('Thông tin lớp học'!$J$10:$J$49&gt;$A28+0.000001))&gt;1,"⚠ Trùng lịch",IF(SUMPRODUCT(('Hoạt động'!$A$5:$A$104=D$5)*('Hoạt động'!$B$5:$B$104&lt;=$A28+0.000001)*('Hoạt động'!$C$5:$C$104&gt;$A28+0.000001))=1,INDEX('Hoạt động'!$D$5:$D$104,SUMPRODUCT(('Hoạt động'!$A$5:$A$104=D$5)*('Hoạt động'!$B$5:$B$104&lt;=$A28+0.000001)*('Hoạt động'!$C$5:$C$104&gt;$A28+0.000001)*(ROW('Hoạt động'!$A$5:$A$104)-4))),INDEX('Thông tin lớp học'!$G$10:$G$49,SUMPRODUCT(('Thông tin lớp học'!$H$10:$H$49=D$4)*('Thông tin lớp học'!$I$10:$I$49&lt;=$A28+0.000001)*('Thông tin lớp học'!$J$10:$J$49&gt;$A28+0.000001)*(ROW('Thông tin lớp học'!$H$10:$H$49)-9))))))</f>
        <v/>
      </c>
      <c r="E28" s="123" t="str">
        <f t="array" ref="E28">IF(SUMPRODUCT(('Hoạt động'!$A$5:$A$104=E$5)*('Hoạt động'!$B$5:$B$104&lt;=$A28+0.000001)*('Hoạt động'!$C$5:$C$104&gt;$A28+0.000001))+SUMPRODUCT(('Thông tin lớp học'!$H$10:$H$49=E$4)*('Thông tin lớp học'!$I$10:$I$49&lt;=$A28+0.000001)*('Thông tin lớp học'!$J$10:$J$49&gt;$A28+0.000001))=0,"",IF(SUMPRODUCT(('Hoạt động'!$A$5:$A$104=E$5)*('Hoạt động'!$B$5:$B$104&lt;=$A28+0.000001)*('Hoạt động'!$C$5:$C$104&gt;$A28+0.000001))+SUMPRODUCT(('Thông tin lớp học'!$H$10:$H$49=E$4)*('Thông tin lớp học'!$I$10:$I$49&lt;=$A28+0.000001)*('Thông tin lớp học'!$J$10:$J$49&gt;$A28+0.000001))&gt;1,"⚠ Trùng lịch",IF(SUMPRODUCT(('Hoạt động'!$A$5:$A$104=E$5)*('Hoạt động'!$B$5:$B$104&lt;=$A28+0.000001)*('Hoạt động'!$C$5:$C$104&gt;$A28+0.000001))=1,INDEX('Hoạt động'!$D$5:$D$104,SUMPRODUCT(('Hoạt động'!$A$5:$A$104=E$5)*('Hoạt động'!$B$5:$B$104&lt;=$A28+0.000001)*('Hoạt động'!$C$5:$C$104&gt;$A28+0.000001)*(ROW('Hoạt động'!$A$5:$A$104)-4))),INDEX('Thông tin lớp học'!$G$10:$G$49,SUMPRODUCT(('Thông tin lớp học'!$H$10:$H$49=E$4)*('Thông tin lớp học'!$I$10:$I$49&lt;=$A28+0.000001)*('Thông tin lớp học'!$J$10:$J$49&gt;$A28+0.000001)*(ROW('Thông tin lớp học'!$H$10:$H$49)-9))))))</f>
        <v/>
      </c>
      <c r="F28" s="123" t="str">
        <f t="array" ref="F28">IF(SUMPRODUCT(('Hoạt động'!$A$5:$A$104=F$5)*('Hoạt động'!$B$5:$B$104&lt;=$A28+0.000001)*('Hoạt động'!$C$5:$C$104&gt;$A28+0.000001))+SUMPRODUCT(('Thông tin lớp học'!$H$10:$H$49=F$4)*('Thông tin lớp học'!$I$10:$I$49&lt;=$A28+0.000001)*('Thông tin lớp học'!$J$10:$J$49&gt;$A28+0.000001))=0,"",IF(SUMPRODUCT(('Hoạt động'!$A$5:$A$104=F$5)*('Hoạt động'!$B$5:$B$104&lt;=$A28+0.000001)*('Hoạt động'!$C$5:$C$104&gt;$A28+0.000001))+SUMPRODUCT(('Thông tin lớp học'!$H$10:$H$49=F$4)*('Thông tin lớp học'!$I$10:$I$49&lt;=$A28+0.000001)*('Thông tin lớp học'!$J$10:$J$49&gt;$A28+0.000001))&gt;1,"⚠ Trùng lịch",IF(SUMPRODUCT(('Hoạt động'!$A$5:$A$104=F$5)*('Hoạt động'!$B$5:$B$104&lt;=$A28+0.000001)*('Hoạt động'!$C$5:$C$104&gt;$A28+0.000001))=1,INDEX('Hoạt động'!$D$5:$D$104,SUMPRODUCT(('Hoạt động'!$A$5:$A$104=F$5)*('Hoạt động'!$B$5:$B$104&lt;=$A28+0.000001)*('Hoạt động'!$C$5:$C$104&gt;$A28+0.000001)*(ROW('Hoạt động'!$A$5:$A$104)-4))),INDEX('Thông tin lớp học'!$G$10:$G$49,SUMPRODUCT(('Thông tin lớp học'!$H$10:$H$49=F$4)*('Thông tin lớp học'!$I$10:$I$49&lt;=$A28+0.000001)*('Thông tin lớp học'!$J$10:$J$49&gt;$A28+0.000001)*(ROW('Thông tin lớp học'!$H$10:$H$49)-9))))))</f>
        <v/>
      </c>
      <c r="G28" s="123" t="str">
        <f t="array" ref="G28">IF(SUMPRODUCT(('Hoạt động'!$A$5:$A$104=G$5)*('Hoạt động'!$B$5:$B$104&lt;=$A28+0.000001)*('Hoạt động'!$C$5:$C$104&gt;$A28+0.000001))+SUMPRODUCT(('Thông tin lớp học'!$H$10:$H$49=G$4)*('Thông tin lớp học'!$I$10:$I$49&lt;=$A28+0.000001)*('Thông tin lớp học'!$J$10:$J$49&gt;$A28+0.000001))=0,"",IF(SUMPRODUCT(('Hoạt động'!$A$5:$A$104=G$5)*('Hoạt động'!$B$5:$B$104&lt;=$A28+0.000001)*('Hoạt động'!$C$5:$C$104&gt;$A28+0.000001))+SUMPRODUCT(('Thông tin lớp học'!$H$10:$H$49=G$4)*('Thông tin lớp học'!$I$10:$I$49&lt;=$A28+0.000001)*('Thông tin lớp học'!$J$10:$J$49&gt;$A28+0.000001))&gt;1,"⚠ Trùng lịch",IF(SUMPRODUCT(('Hoạt động'!$A$5:$A$104=G$5)*('Hoạt động'!$B$5:$B$104&lt;=$A28+0.000001)*('Hoạt động'!$C$5:$C$104&gt;$A28+0.000001))=1,INDEX('Hoạt động'!$D$5:$D$104,SUMPRODUCT(('Hoạt động'!$A$5:$A$104=G$5)*('Hoạt động'!$B$5:$B$104&lt;=$A28+0.000001)*('Hoạt động'!$C$5:$C$104&gt;$A28+0.000001)*(ROW('Hoạt động'!$A$5:$A$104)-4))),INDEX('Thông tin lớp học'!$G$10:$G$49,SUMPRODUCT(('Thông tin lớp học'!$H$10:$H$49=G$4)*('Thông tin lớp học'!$I$10:$I$49&lt;=$A28+0.000001)*('Thông tin lớp học'!$J$10:$J$49&gt;$A28+0.000001)*(ROW('Thông tin lớp học'!$H$10:$H$49)-9))))))</f>
        <v/>
      </c>
      <c r="H28" s="123" t="str">
        <f t="array" ref="H28">IF(SUMPRODUCT(('Hoạt động'!$A$5:$A$104=H$5)*('Hoạt động'!$B$5:$B$104&lt;=$A28+0.000001)*('Hoạt động'!$C$5:$C$104&gt;$A28+0.000001))+SUMPRODUCT(('Thông tin lớp học'!$H$10:$H$49=H$4)*('Thông tin lớp học'!$I$10:$I$49&lt;=$A28+0.000001)*('Thông tin lớp học'!$J$10:$J$49&gt;$A28+0.000001))=0,"",IF(SUMPRODUCT(('Hoạt động'!$A$5:$A$104=H$5)*('Hoạt động'!$B$5:$B$104&lt;=$A28+0.000001)*('Hoạt động'!$C$5:$C$104&gt;$A28+0.000001))+SUMPRODUCT(('Thông tin lớp học'!$H$10:$H$49=H$4)*('Thông tin lớp học'!$I$10:$I$49&lt;=$A28+0.000001)*('Thông tin lớp học'!$J$10:$J$49&gt;$A28+0.000001))&gt;1,"⚠ Trùng lịch",IF(SUMPRODUCT(('Hoạt động'!$A$5:$A$104=H$5)*('Hoạt động'!$B$5:$B$104&lt;=$A28+0.000001)*('Hoạt động'!$C$5:$C$104&gt;$A28+0.000001))=1,INDEX('Hoạt động'!$D$5:$D$104,SUMPRODUCT(('Hoạt động'!$A$5:$A$104=H$5)*('Hoạt động'!$B$5:$B$104&lt;=$A28+0.000001)*('Hoạt động'!$C$5:$C$104&gt;$A28+0.000001)*(ROW('Hoạt động'!$A$5:$A$104)-4))),INDEX('Thông tin lớp học'!$G$10:$G$49,SUMPRODUCT(('Thông tin lớp học'!$H$10:$H$49=H$4)*('Thông tin lớp học'!$I$10:$I$49&lt;=$A28+0.000001)*('Thông tin lớp học'!$J$10:$J$49&gt;$A28+0.000001)*(ROW('Thông tin lớp học'!$H$10:$H$49)-9))))))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16">
        <v>0.729166666666667</v>
      </c>
      <c r="B29" s="123" t="str">
        <f t="array" ref="B29">IF(SUMPRODUCT(('Hoạt động'!$A$5:$A$104=B$5)*('Hoạt động'!$B$5:$B$104&lt;=$A29+0.000001)*('Hoạt động'!$C$5:$C$104&gt;$A29+0.000001))+SUMPRODUCT(('Thông tin lớp học'!$H$10:$H$49=B$4)*('Thông tin lớp học'!$I$10:$I$49&lt;=$A29+0.000001)*('Thông tin lớp học'!$J$10:$J$49&gt;$A29+0.000001))=0,"",IF(SUMPRODUCT(('Hoạt động'!$A$5:$A$104=B$5)*('Hoạt động'!$B$5:$B$104&lt;=$A29+0.000001)*('Hoạt động'!$C$5:$C$104&gt;$A29+0.000001))+SUMPRODUCT(('Thông tin lớp học'!$H$10:$H$49=B$4)*('Thông tin lớp học'!$I$10:$I$49&lt;=$A29+0.000001)*('Thông tin lớp học'!$J$10:$J$49&gt;$A29+0.000001))&gt;1,"⚠ Trùng lịch",IF(SUMPRODUCT(('Hoạt động'!$A$5:$A$104=B$5)*('Hoạt động'!$B$5:$B$104&lt;=$A29+0.000001)*('Hoạt động'!$C$5:$C$104&gt;$A29+0.000001))=1,INDEX('Hoạt động'!$D$5:$D$104,SUMPRODUCT(('Hoạt động'!$A$5:$A$104=B$5)*('Hoạt động'!$B$5:$B$104&lt;=$A29+0.000001)*('Hoạt động'!$C$5:$C$104&gt;$A29+0.000001)*(ROW('Hoạt động'!$A$5:$A$104)-4))),INDEX('Thông tin lớp học'!$G$10:$G$49,SUMPRODUCT(('Thông tin lớp học'!$H$10:$H$49=B$4)*('Thông tin lớp học'!$I$10:$I$49&lt;=$A29+0.000001)*('Thông tin lớp học'!$J$10:$J$49&gt;$A29+0.000001)*(ROW('Thông tin lớp học'!$H$10:$H$49)-9))))))</f>
        <v/>
      </c>
      <c r="C29" s="123" t="str">
        <f t="array" ref="C29">IF(SUMPRODUCT(('Hoạt động'!$A$5:$A$104=C$5)*('Hoạt động'!$B$5:$B$104&lt;=$A29+0.000001)*('Hoạt động'!$C$5:$C$104&gt;$A29+0.000001))+SUMPRODUCT(('Thông tin lớp học'!$H$10:$H$49=C$4)*('Thông tin lớp học'!$I$10:$I$49&lt;=$A29+0.000001)*('Thông tin lớp học'!$J$10:$J$49&gt;$A29+0.000001))=0,"",IF(SUMPRODUCT(('Hoạt động'!$A$5:$A$104=C$5)*('Hoạt động'!$B$5:$B$104&lt;=$A29+0.000001)*('Hoạt động'!$C$5:$C$104&gt;$A29+0.000001))+SUMPRODUCT(('Thông tin lớp học'!$H$10:$H$49=C$4)*('Thông tin lớp học'!$I$10:$I$49&lt;=$A29+0.000001)*('Thông tin lớp học'!$J$10:$J$49&gt;$A29+0.000001))&gt;1,"⚠ Trùng lịch",IF(SUMPRODUCT(('Hoạt động'!$A$5:$A$104=C$5)*('Hoạt động'!$B$5:$B$104&lt;=$A29+0.000001)*('Hoạt động'!$C$5:$C$104&gt;$A29+0.000001))=1,INDEX('Hoạt động'!$D$5:$D$104,SUMPRODUCT(('Hoạt động'!$A$5:$A$104=C$5)*('Hoạt động'!$B$5:$B$104&lt;=$A29+0.000001)*('Hoạt động'!$C$5:$C$104&gt;$A29+0.000001)*(ROW('Hoạt động'!$A$5:$A$104)-4))),INDEX('Thông tin lớp học'!$G$10:$G$49,SUMPRODUCT(('Thông tin lớp học'!$H$10:$H$49=C$4)*('Thông tin lớp học'!$I$10:$I$49&lt;=$A29+0.000001)*('Thông tin lớp học'!$J$10:$J$49&gt;$A29+0.000001)*(ROW('Thông tin lớp học'!$H$10:$H$49)-9))))))</f>
        <v/>
      </c>
      <c r="D29" s="123" t="str">
        <f t="array" ref="D29">IF(SUMPRODUCT(('Hoạt động'!$A$5:$A$104=D$5)*('Hoạt động'!$B$5:$B$104&lt;=$A29+0.000001)*('Hoạt động'!$C$5:$C$104&gt;$A29+0.000001))+SUMPRODUCT(('Thông tin lớp học'!$H$10:$H$49=D$4)*('Thông tin lớp học'!$I$10:$I$49&lt;=$A29+0.000001)*('Thông tin lớp học'!$J$10:$J$49&gt;$A29+0.000001))=0,"",IF(SUMPRODUCT(('Hoạt động'!$A$5:$A$104=D$5)*('Hoạt động'!$B$5:$B$104&lt;=$A29+0.000001)*('Hoạt động'!$C$5:$C$104&gt;$A29+0.000001))+SUMPRODUCT(('Thông tin lớp học'!$H$10:$H$49=D$4)*('Thông tin lớp học'!$I$10:$I$49&lt;=$A29+0.000001)*('Thông tin lớp học'!$J$10:$J$49&gt;$A29+0.000001))&gt;1,"⚠ Trùng lịch",IF(SUMPRODUCT(('Hoạt động'!$A$5:$A$104=D$5)*('Hoạt động'!$B$5:$B$104&lt;=$A29+0.000001)*('Hoạt động'!$C$5:$C$104&gt;$A29+0.000001))=1,INDEX('Hoạt động'!$D$5:$D$104,SUMPRODUCT(('Hoạt động'!$A$5:$A$104=D$5)*('Hoạt động'!$B$5:$B$104&lt;=$A29+0.000001)*('Hoạt động'!$C$5:$C$104&gt;$A29+0.000001)*(ROW('Hoạt động'!$A$5:$A$104)-4))),INDEX('Thông tin lớp học'!$G$10:$G$49,SUMPRODUCT(('Thông tin lớp học'!$H$10:$H$49=D$4)*('Thông tin lớp học'!$I$10:$I$49&lt;=$A29+0.000001)*('Thông tin lớp học'!$J$10:$J$49&gt;$A29+0.000001)*(ROW('Thông tin lớp học'!$H$10:$H$49)-9))))))</f>
        <v/>
      </c>
      <c r="E29" s="123" t="str">
        <f t="array" ref="E29">IF(SUMPRODUCT(('Hoạt động'!$A$5:$A$104=E$5)*('Hoạt động'!$B$5:$B$104&lt;=$A29+0.000001)*('Hoạt động'!$C$5:$C$104&gt;$A29+0.000001))+SUMPRODUCT(('Thông tin lớp học'!$H$10:$H$49=E$4)*('Thông tin lớp học'!$I$10:$I$49&lt;=$A29+0.000001)*('Thông tin lớp học'!$J$10:$J$49&gt;$A29+0.000001))=0,"",IF(SUMPRODUCT(('Hoạt động'!$A$5:$A$104=E$5)*('Hoạt động'!$B$5:$B$104&lt;=$A29+0.000001)*('Hoạt động'!$C$5:$C$104&gt;$A29+0.000001))+SUMPRODUCT(('Thông tin lớp học'!$H$10:$H$49=E$4)*('Thông tin lớp học'!$I$10:$I$49&lt;=$A29+0.000001)*('Thông tin lớp học'!$J$10:$J$49&gt;$A29+0.000001))&gt;1,"⚠ Trùng lịch",IF(SUMPRODUCT(('Hoạt động'!$A$5:$A$104=E$5)*('Hoạt động'!$B$5:$B$104&lt;=$A29+0.000001)*('Hoạt động'!$C$5:$C$104&gt;$A29+0.000001))=1,INDEX('Hoạt động'!$D$5:$D$104,SUMPRODUCT(('Hoạt động'!$A$5:$A$104=E$5)*('Hoạt động'!$B$5:$B$104&lt;=$A29+0.000001)*('Hoạt động'!$C$5:$C$104&gt;$A29+0.000001)*(ROW('Hoạt động'!$A$5:$A$104)-4))),INDEX('Thông tin lớp học'!$G$10:$G$49,SUMPRODUCT(('Thông tin lớp học'!$H$10:$H$49=E$4)*('Thông tin lớp học'!$I$10:$I$49&lt;=$A29+0.000001)*('Thông tin lớp học'!$J$10:$J$49&gt;$A29+0.000001)*(ROW('Thông tin lớp học'!$H$10:$H$49)-9))))))</f>
        <v/>
      </c>
      <c r="F29" s="123" t="str">
        <f t="array" ref="F29">IF(SUMPRODUCT(('Hoạt động'!$A$5:$A$104=F$5)*('Hoạt động'!$B$5:$B$104&lt;=$A29+0.000001)*('Hoạt động'!$C$5:$C$104&gt;$A29+0.000001))+SUMPRODUCT(('Thông tin lớp học'!$H$10:$H$49=F$4)*('Thông tin lớp học'!$I$10:$I$49&lt;=$A29+0.000001)*('Thông tin lớp học'!$J$10:$J$49&gt;$A29+0.000001))=0,"",IF(SUMPRODUCT(('Hoạt động'!$A$5:$A$104=F$5)*('Hoạt động'!$B$5:$B$104&lt;=$A29+0.000001)*('Hoạt động'!$C$5:$C$104&gt;$A29+0.000001))+SUMPRODUCT(('Thông tin lớp học'!$H$10:$H$49=F$4)*('Thông tin lớp học'!$I$10:$I$49&lt;=$A29+0.000001)*('Thông tin lớp học'!$J$10:$J$49&gt;$A29+0.000001))&gt;1,"⚠ Trùng lịch",IF(SUMPRODUCT(('Hoạt động'!$A$5:$A$104=F$5)*('Hoạt động'!$B$5:$B$104&lt;=$A29+0.000001)*('Hoạt động'!$C$5:$C$104&gt;$A29+0.000001))=1,INDEX('Hoạt động'!$D$5:$D$104,SUMPRODUCT(('Hoạt động'!$A$5:$A$104=F$5)*('Hoạt động'!$B$5:$B$104&lt;=$A29+0.000001)*('Hoạt động'!$C$5:$C$104&gt;$A29+0.000001)*(ROW('Hoạt động'!$A$5:$A$104)-4))),INDEX('Thông tin lớp học'!$G$10:$G$49,SUMPRODUCT(('Thông tin lớp học'!$H$10:$H$49=F$4)*('Thông tin lớp học'!$I$10:$I$49&lt;=$A29+0.000001)*('Thông tin lớp học'!$J$10:$J$49&gt;$A29+0.000001)*(ROW('Thông tin lớp học'!$H$10:$H$49)-9))))))</f>
        <v/>
      </c>
      <c r="G29" s="123" t="str">
        <f t="array" ref="G29">IF(SUMPRODUCT(('Hoạt động'!$A$5:$A$104=G$5)*('Hoạt động'!$B$5:$B$104&lt;=$A29+0.000001)*('Hoạt động'!$C$5:$C$104&gt;$A29+0.000001))+SUMPRODUCT(('Thông tin lớp học'!$H$10:$H$49=G$4)*('Thông tin lớp học'!$I$10:$I$49&lt;=$A29+0.000001)*('Thông tin lớp học'!$J$10:$J$49&gt;$A29+0.000001))=0,"",IF(SUMPRODUCT(('Hoạt động'!$A$5:$A$104=G$5)*('Hoạt động'!$B$5:$B$104&lt;=$A29+0.000001)*('Hoạt động'!$C$5:$C$104&gt;$A29+0.000001))+SUMPRODUCT(('Thông tin lớp học'!$H$10:$H$49=G$4)*('Thông tin lớp học'!$I$10:$I$49&lt;=$A29+0.000001)*('Thông tin lớp học'!$J$10:$J$49&gt;$A29+0.000001))&gt;1,"⚠ Trùng lịch",IF(SUMPRODUCT(('Hoạt động'!$A$5:$A$104=G$5)*('Hoạt động'!$B$5:$B$104&lt;=$A29+0.000001)*('Hoạt động'!$C$5:$C$104&gt;$A29+0.000001))=1,INDEX('Hoạt động'!$D$5:$D$104,SUMPRODUCT(('Hoạt động'!$A$5:$A$104=G$5)*('Hoạt động'!$B$5:$B$104&lt;=$A29+0.000001)*('Hoạt động'!$C$5:$C$104&gt;$A29+0.000001)*(ROW('Hoạt động'!$A$5:$A$104)-4))),INDEX('Thông tin lớp học'!$G$10:$G$49,SUMPRODUCT(('Thông tin lớp học'!$H$10:$H$49=G$4)*('Thông tin lớp học'!$I$10:$I$49&lt;=$A29+0.000001)*('Thông tin lớp học'!$J$10:$J$49&gt;$A29+0.000001)*(ROW('Thông tin lớp học'!$H$10:$H$49)-9))))))</f>
        <v/>
      </c>
      <c r="H29" s="123" t="str">
        <f t="array" ref="H29">IF(SUMPRODUCT(('Hoạt động'!$A$5:$A$104=H$5)*('Hoạt động'!$B$5:$B$104&lt;=$A29+0.000001)*('Hoạt động'!$C$5:$C$104&gt;$A29+0.000001))+SUMPRODUCT(('Thông tin lớp học'!$H$10:$H$49=H$4)*('Thông tin lớp học'!$I$10:$I$49&lt;=$A29+0.000001)*('Thông tin lớp học'!$J$10:$J$49&gt;$A29+0.000001))=0,"",IF(SUMPRODUCT(('Hoạt động'!$A$5:$A$104=H$5)*('Hoạt động'!$B$5:$B$104&lt;=$A29+0.000001)*('Hoạt động'!$C$5:$C$104&gt;$A29+0.000001))+SUMPRODUCT(('Thông tin lớp học'!$H$10:$H$49=H$4)*('Thông tin lớp học'!$I$10:$I$49&lt;=$A29+0.000001)*('Thông tin lớp học'!$J$10:$J$49&gt;$A29+0.000001))&gt;1,"⚠ Trùng lịch",IF(SUMPRODUCT(('Hoạt động'!$A$5:$A$104=H$5)*('Hoạt động'!$B$5:$B$104&lt;=$A29+0.000001)*('Hoạt động'!$C$5:$C$104&gt;$A29+0.000001))=1,INDEX('Hoạt động'!$D$5:$D$104,SUMPRODUCT(('Hoạt động'!$A$5:$A$104=H$5)*('Hoạt động'!$B$5:$B$104&lt;=$A29+0.000001)*('Hoạt động'!$C$5:$C$104&gt;$A29+0.000001)*(ROW('Hoạt động'!$A$5:$A$104)-4))),INDEX('Thông tin lớp học'!$G$10:$G$49,SUMPRODUCT(('Thông tin lớp học'!$H$10:$H$49=H$4)*('Thông tin lớp học'!$I$10:$I$49&lt;=$A29+0.000001)*('Thông tin lớp học'!$J$10:$J$49&gt;$A29+0.000001)*(ROW('Thông tin lớp học'!$H$10:$H$49)-9))))))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16">
        <v>0.75</v>
      </c>
      <c r="B30" s="123" t="str">
        <f t="array" ref="B30">IF(SUMPRODUCT(('Hoạt động'!$A$5:$A$104=B$5)*('Hoạt động'!$B$5:$B$104&lt;=$A30+0.000001)*('Hoạt động'!$C$5:$C$104&gt;$A30+0.000001))+SUMPRODUCT(('Thông tin lớp học'!$H$10:$H$49=B$4)*('Thông tin lớp học'!$I$10:$I$49&lt;=$A30+0.000001)*('Thông tin lớp học'!$J$10:$J$49&gt;$A30+0.000001))=0,"",IF(SUMPRODUCT(('Hoạt động'!$A$5:$A$104=B$5)*('Hoạt động'!$B$5:$B$104&lt;=$A30+0.000001)*('Hoạt động'!$C$5:$C$104&gt;$A30+0.000001))+SUMPRODUCT(('Thông tin lớp học'!$H$10:$H$49=B$4)*('Thông tin lớp học'!$I$10:$I$49&lt;=$A30+0.000001)*('Thông tin lớp học'!$J$10:$J$49&gt;$A30+0.000001))&gt;1,"⚠ Trùng lịch",IF(SUMPRODUCT(('Hoạt động'!$A$5:$A$104=B$5)*('Hoạt động'!$B$5:$B$104&lt;=$A30+0.000001)*('Hoạt động'!$C$5:$C$104&gt;$A30+0.000001))=1,INDEX('Hoạt động'!$D$5:$D$104,SUMPRODUCT(('Hoạt động'!$A$5:$A$104=B$5)*('Hoạt động'!$B$5:$B$104&lt;=$A30+0.000001)*('Hoạt động'!$C$5:$C$104&gt;$A30+0.000001)*(ROW('Hoạt động'!$A$5:$A$104)-4))),INDEX('Thông tin lớp học'!$G$10:$G$49,SUMPRODUCT(('Thông tin lớp học'!$H$10:$H$49=B$4)*('Thông tin lớp học'!$I$10:$I$49&lt;=$A30+0.000001)*('Thông tin lớp học'!$J$10:$J$49&gt;$A30+0.000001)*(ROW('Thông tin lớp học'!$H$10:$H$49)-9))))))</f>
        <v/>
      </c>
      <c r="C30" s="123" t="str">
        <f t="array" ref="C30">IF(SUMPRODUCT(('Hoạt động'!$A$5:$A$104=C$5)*('Hoạt động'!$B$5:$B$104&lt;=$A30+0.000001)*('Hoạt động'!$C$5:$C$104&gt;$A30+0.000001))+SUMPRODUCT(('Thông tin lớp học'!$H$10:$H$49=C$4)*('Thông tin lớp học'!$I$10:$I$49&lt;=$A30+0.000001)*('Thông tin lớp học'!$J$10:$J$49&gt;$A30+0.000001))=0,"",IF(SUMPRODUCT(('Hoạt động'!$A$5:$A$104=C$5)*('Hoạt động'!$B$5:$B$104&lt;=$A30+0.000001)*('Hoạt động'!$C$5:$C$104&gt;$A30+0.000001))+SUMPRODUCT(('Thông tin lớp học'!$H$10:$H$49=C$4)*('Thông tin lớp học'!$I$10:$I$49&lt;=$A30+0.000001)*('Thông tin lớp học'!$J$10:$J$49&gt;$A30+0.000001))&gt;1,"⚠ Trùng lịch",IF(SUMPRODUCT(('Hoạt động'!$A$5:$A$104=C$5)*('Hoạt động'!$B$5:$B$104&lt;=$A30+0.000001)*('Hoạt động'!$C$5:$C$104&gt;$A30+0.000001))=1,INDEX('Hoạt động'!$D$5:$D$104,SUMPRODUCT(('Hoạt động'!$A$5:$A$104=C$5)*('Hoạt động'!$B$5:$B$104&lt;=$A30+0.000001)*('Hoạt động'!$C$5:$C$104&gt;$A30+0.000001)*(ROW('Hoạt động'!$A$5:$A$104)-4))),INDEX('Thông tin lớp học'!$G$10:$G$49,SUMPRODUCT(('Thông tin lớp học'!$H$10:$H$49=C$4)*('Thông tin lớp học'!$I$10:$I$49&lt;=$A30+0.000001)*('Thông tin lớp học'!$J$10:$J$49&gt;$A30+0.000001)*(ROW('Thông tin lớp học'!$H$10:$H$49)-9))))))</f>
        <v/>
      </c>
      <c r="D30" s="123" t="str">
        <f t="array" ref="D30">IF(SUMPRODUCT(('Hoạt động'!$A$5:$A$104=D$5)*('Hoạt động'!$B$5:$B$104&lt;=$A30+0.000001)*('Hoạt động'!$C$5:$C$104&gt;$A30+0.000001))+SUMPRODUCT(('Thông tin lớp học'!$H$10:$H$49=D$4)*('Thông tin lớp học'!$I$10:$I$49&lt;=$A30+0.000001)*('Thông tin lớp học'!$J$10:$J$49&gt;$A30+0.000001))=0,"",IF(SUMPRODUCT(('Hoạt động'!$A$5:$A$104=D$5)*('Hoạt động'!$B$5:$B$104&lt;=$A30+0.000001)*('Hoạt động'!$C$5:$C$104&gt;$A30+0.000001))+SUMPRODUCT(('Thông tin lớp học'!$H$10:$H$49=D$4)*('Thông tin lớp học'!$I$10:$I$49&lt;=$A30+0.000001)*('Thông tin lớp học'!$J$10:$J$49&gt;$A30+0.000001))&gt;1,"⚠ Trùng lịch",IF(SUMPRODUCT(('Hoạt động'!$A$5:$A$104=D$5)*('Hoạt động'!$B$5:$B$104&lt;=$A30+0.000001)*('Hoạt động'!$C$5:$C$104&gt;$A30+0.000001))=1,INDEX('Hoạt động'!$D$5:$D$104,SUMPRODUCT(('Hoạt động'!$A$5:$A$104=D$5)*('Hoạt động'!$B$5:$B$104&lt;=$A30+0.000001)*('Hoạt động'!$C$5:$C$104&gt;$A30+0.000001)*(ROW('Hoạt động'!$A$5:$A$104)-4))),INDEX('Thông tin lớp học'!$G$10:$G$49,SUMPRODUCT(('Thông tin lớp học'!$H$10:$H$49=D$4)*('Thông tin lớp học'!$I$10:$I$49&lt;=$A30+0.000001)*('Thông tin lớp học'!$J$10:$J$49&gt;$A30+0.000001)*(ROW('Thông tin lớp học'!$H$10:$H$49)-9))))))</f>
        <v/>
      </c>
      <c r="E30" s="123" t="str">
        <f t="array" ref="E30">IF(SUMPRODUCT(('Hoạt động'!$A$5:$A$104=E$5)*('Hoạt động'!$B$5:$B$104&lt;=$A30+0.000001)*('Hoạt động'!$C$5:$C$104&gt;$A30+0.000001))+SUMPRODUCT(('Thông tin lớp học'!$H$10:$H$49=E$4)*('Thông tin lớp học'!$I$10:$I$49&lt;=$A30+0.000001)*('Thông tin lớp học'!$J$10:$J$49&gt;$A30+0.000001))=0,"",IF(SUMPRODUCT(('Hoạt động'!$A$5:$A$104=E$5)*('Hoạt động'!$B$5:$B$104&lt;=$A30+0.000001)*('Hoạt động'!$C$5:$C$104&gt;$A30+0.000001))+SUMPRODUCT(('Thông tin lớp học'!$H$10:$H$49=E$4)*('Thông tin lớp học'!$I$10:$I$49&lt;=$A30+0.000001)*('Thông tin lớp học'!$J$10:$J$49&gt;$A30+0.000001))&gt;1,"⚠ Trùng lịch",IF(SUMPRODUCT(('Hoạt động'!$A$5:$A$104=E$5)*('Hoạt động'!$B$5:$B$104&lt;=$A30+0.000001)*('Hoạt động'!$C$5:$C$104&gt;$A30+0.000001))=1,INDEX('Hoạt động'!$D$5:$D$104,SUMPRODUCT(('Hoạt động'!$A$5:$A$104=E$5)*('Hoạt động'!$B$5:$B$104&lt;=$A30+0.000001)*('Hoạt động'!$C$5:$C$104&gt;$A30+0.000001)*(ROW('Hoạt động'!$A$5:$A$104)-4))),INDEX('Thông tin lớp học'!$G$10:$G$49,SUMPRODUCT(('Thông tin lớp học'!$H$10:$H$49=E$4)*('Thông tin lớp học'!$I$10:$I$49&lt;=$A30+0.000001)*('Thông tin lớp học'!$J$10:$J$49&gt;$A30+0.000001)*(ROW('Thông tin lớp học'!$H$10:$H$49)-9))))))</f>
        <v/>
      </c>
      <c r="F30" s="123" t="str">
        <f t="array" ref="F30">IF(SUMPRODUCT(('Hoạt động'!$A$5:$A$104=F$5)*('Hoạt động'!$B$5:$B$104&lt;=$A30+0.000001)*('Hoạt động'!$C$5:$C$104&gt;$A30+0.000001))+SUMPRODUCT(('Thông tin lớp học'!$H$10:$H$49=F$4)*('Thông tin lớp học'!$I$10:$I$49&lt;=$A30+0.000001)*('Thông tin lớp học'!$J$10:$J$49&gt;$A30+0.000001))=0,"",IF(SUMPRODUCT(('Hoạt động'!$A$5:$A$104=F$5)*('Hoạt động'!$B$5:$B$104&lt;=$A30+0.000001)*('Hoạt động'!$C$5:$C$104&gt;$A30+0.000001))+SUMPRODUCT(('Thông tin lớp học'!$H$10:$H$49=F$4)*('Thông tin lớp học'!$I$10:$I$49&lt;=$A30+0.000001)*('Thông tin lớp học'!$J$10:$J$49&gt;$A30+0.000001))&gt;1,"⚠ Trùng lịch",IF(SUMPRODUCT(('Hoạt động'!$A$5:$A$104=F$5)*('Hoạt động'!$B$5:$B$104&lt;=$A30+0.000001)*('Hoạt động'!$C$5:$C$104&gt;$A30+0.000001))=1,INDEX('Hoạt động'!$D$5:$D$104,SUMPRODUCT(('Hoạt động'!$A$5:$A$104=F$5)*('Hoạt động'!$B$5:$B$104&lt;=$A30+0.000001)*('Hoạt động'!$C$5:$C$104&gt;$A30+0.000001)*(ROW('Hoạt động'!$A$5:$A$104)-4))),INDEX('Thông tin lớp học'!$G$10:$G$49,SUMPRODUCT(('Thông tin lớp học'!$H$10:$H$49=F$4)*('Thông tin lớp học'!$I$10:$I$49&lt;=$A30+0.000001)*('Thông tin lớp học'!$J$10:$J$49&gt;$A30+0.000001)*(ROW('Thông tin lớp học'!$H$10:$H$49)-9))))))</f>
        <v/>
      </c>
      <c r="G30" s="123" t="str">
        <f t="array" ref="G30">IF(SUMPRODUCT(('Hoạt động'!$A$5:$A$104=G$5)*('Hoạt động'!$B$5:$B$104&lt;=$A30+0.000001)*('Hoạt động'!$C$5:$C$104&gt;$A30+0.000001))+SUMPRODUCT(('Thông tin lớp học'!$H$10:$H$49=G$4)*('Thông tin lớp học'!$I$10:$I$49&lt;=$A30+0.000001)*('Thông tin lớp học'!$J$10:$J$49&gt;$A30+0.000001))=0,"",IF(SUMPRODUCT(('Hoạt động'!$A$5:$A$104=G$5)*('Hoạt động'!$B$5:$B$104&lt;=$A30+0.000001)*('Hoạt động'!$C$5:$C$104&gt;$A30+0.000001))+SUMPRODUCT(('Thông tin lớp học'!$H$10:$H$49=G$4)*('Thông tin lớp học'!$I$10:$I$49&lt;=$A30+0.000001)*('Thông tin lớp học'!$J$10:$J$49&gt;$A30+0.000001))&gt;1,"⚠ Trùng lịch",IF(SUMPRODUCT(('Hoạt động'!$A$5:$A$104=G$5)*('Hoạt động'!$B$5:$B$104&lt;=$A30+0.000001)*('Hoạt động'!$C$5:$C$104&gt;$A30+0.000001))=1,INDEX('Hoạt động'!$D$5:$D$104,SUMPRODUCT(('Hoạt động'!$A$5:$A$104=G$5)*('Hoạt động'!$B$5:$B$104&lt;=$A30+0.000001)*('Hoạt động'!$C$5:$C$104&gt;$A30+0.000001)*(ROW('Hoạt động'!$A$5:$A$104)-4))),INDEX('Thông tin lớp học'!$G$10:$G$49,SUMPRODUCT(('Thông tin lớp học'!$H$10:$H$49=G$4)*('Thông tin lớp học'!$I$10:$I$49&lt;=$A30+0.000001)*('Thông tin lớp học'!$J$10:$J$49&gt;$A30+0.000001)*(ROW('Thông tin lớp học'!$H$10:$H$49)-9))))))</f>
        <v/>
      </c>
      <c r="H30" s="123" t="str">
        <f t="array" ref="H30">IF(SUMPRODUCT(('Hoạt động'!$A$5:$A$104=H$5)*('Hoạt động'!$B$5:$B$104&lt;=$A30+0.000001)*('Hoạt động'!$C$5:$C$104&gt;$A30+0.000001))+SUMPRODUCT(('Thông tin lớp học'!$H$10:$H$49=H$4)*('Thông tin lớp học'!$I$10:$I$49&lt;=$A30+0.000001)*('Thông tin lớp học'!$J$10:$J$49&gt;$A30+0.000001))=0,"",IF(SUMPRODUCT(('Hoạt động'!$A$5:$A$104=H$5)*('Hoạt động'!$B$5:$B$104&lt;=$A30+0.000001)*('Hoạt động'!$C$5:$C$104&gt;$A30+0.000001))+SUMPRODUCT(('Thông tin lớp học'!$H$10:$H$49=H$4)*('Thông tin lớp học'!$I$10:$I$49&lt;=$A30+0.000001)*('Thông tin lớp học'!$J$10:$J$49&gt;$A30+0.000001))&gt;1,"⚠ Trùng lịch",IF(SUMPRODUCT(('Hoạt động'!$A$5:$A$104=H$5)*('Hoạt động'!$B$5:$B$104&lt;=$A30+0.000001)*('Hoạt động'!$C$5:$C$104&gt;$A30+0.000001))=1,INDEX('Hoạt động'!$D$5:$D$104,SUMPRODUCT(('Hoạt động'!$A$5:$A$104=H$5)*('Hoạt động'!$B$5:$B$104&lt;=$A30+0.000001)*('Hoạt động'!$C$5:$C$104&gt;$A30+0.000001)*(ROW('Hoạt động'!$A$5:$A$104)-4))),INDEX('Thông tin lớp học'!$G$10:$G$49,SUMPRODUCT(('Thông tin lớp học'!$H$10:$H$49=H$4)*('Thông tin lớp học'!$I$10:$I$49&lt;=$A30+0.000001)*('Thông tin lớp học'!$J$10:$J$49&gt;$A30+0.000001)*(ROW('Thông tin lớp học'!$H$10:$H$49)-9))))))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16">
        <v>0.770833333333333</v>
      </c>
      <c r="B31" s="123" t="str">
        <f t="array" ref="B31">IF(SUMPRODUCT(('Hoạt động'!$A$5:$A$104=B$5)*('Hoạt động'!$B$5:$B$104&lt;=$A31+0.000001)*('Hoạt động'!$C$5:$C$104&gt;$A31+0.000001))+SUMPRODUCT(('Thông tin lớp học'!$H$10:$H$49=B$4)*('Thông tin lớp học'!$I$10:$I$49&lt;=$A31+0.000001)*('Thông tin lớp học'!$J$10:$J$49&gt;$A31+0.000001))=0,"",IF(SUMPRODUCT(('Hoạt động'!$A$5:$A$104=B$5)*('Hoạt động'!$B$5:$B$104&lt;=$A31+0.000001)*('Hoạt động'!$C$5:$C$104&gt;$A31+0.000001))+SUMPRODUCT(('Thông tin lớp học'!$H$10:$H$49=B$4)*('Thông tin lớp học'!$I$10:$I$49&lt;=$A31+0.000001)*('Thông tin lớp học'!$J$10:$J$49&gt;$A31+0.000001))&gt;1,"⚠ Trùng lịch",IF(SUMPRODUCT(('Hoạt động'!$A$5:$A$104=B$5)*('Hoạt động'!$B$5:$B$104&lt;=$A31+0.000001)*('Hoạt động'!$C$5:$C$104&gt;$A31+0.000001))=1,INDEX('Hoạt động'!$D$5:$D$104,SUMPRODUCT(('Hoạt động'!$A$5:$A$104=B$5)*('Hoạt động'!$B$5:$B$104&lt;=$A31+0.000001)*('Hoạt động'!$C$5:$C$104&gt;$A31+0.000001)*(ROW('Hoạt động'!$A$5:$A$104)-4))),INDEX('Thông tin lớp học'!$G$10:$G$49,SUMPRODUCT(('Thông tin lớp học'!$H$10:$H$49=B$4)*('Thông tin lớp học'!$I$10:$I$49&lt;=$A31+0.000001)*('Thông tin lớp học'!$J$10:$J$49&gt;$A31+0.000001)*(ROW('Thông tin lớp học'!$H$10:$H$49)-9))))))</f>
        <v>Đi ăn teambuilding với công ty</v>
      </c>
      <c r="C31" s="123" t="str">
        <f t="array" ref="C31">IF(SUMPRODUCT(('Hoạt động'!$A$5:$A$104=C$5)*('Hoạt động'!$B$5:$B$104&lt;=$A31+0.000001)*('Hoạt động'!$C$5:$C$104&gt;$A31+0.000001))+SUMPRODUCT(('Thông tin lớp học'!$H$10:$H$49=C$4)*('Thông tin lớp học'!$I$10:$I$49&lt;=$A31+0.000001)*('Thông tin lớp học'!$J$10:$J$49&gt;$A31+0.000001))=0,"",IF(SUMPRODUCT(('Hoạt động'!$A$5:$A$104=C$5)*('Hoạt động'!$B$5:$B$104&lt;=$A31+0.000001)*('Hoạt động'!$C$5:$C$104&gt;$A31+0.000001))+SUMPRODUCT(('Thông tin lớp học'!$H$10:$H$49=C$4)*('Thông tin lớp học'!$I$10:$I$49&lt;=$A31+0.000001)*('Thông tin lớp học'!$J$10:$J$49&gt;$A31+0.000001))&gt;1,"⚠ Trùng lịch",IF(SUMPRODUCT(('Hoạt động'!$A$5:$A$104=C$5)*('Hoạt động'!$B$5:$B$104&lt;=$A31+0.000001)*('Hoạt động'!$C$5:$C$104&gt;$A31+0.000001))=1,INDEX('Hoạt động'!$D$5:$D$104,SUMPRODUCT(('Hoạt động'!$A$5:$A$104=C$5)*('Hoạt động'!$B$5:$B$104&lt;=$A31+0.000001)*('Hoạt động'!$C$5:$C$104&gt;$A31+0.000001)*(ROW('Hoạt động'!$A$5:$A$104)-4))),INDEX('Thông tin lớp học'!$G$10:$G$49,SUMPRODUCT(('Thông tin lớp học'!$H$10:$H$49=C$4)*('Thông tin lớp học'!$I$10:$I$49&lt;=$A31+0.000001)*('Thông tin lớp học'!$J$10:$J$49&gt;$A31+0.000001)*(ROW('Thông tin lớp học'!$H$10:$H$49)-9))))))</f>
        <v/>
      </c>
      <c r="D31" s="123" t="str">
        <f t="array" ref="D31">IF(SUMPRODUCT(('Hoạt động'!$A$5:$A$104=D$5)*('Hoạt động'!$B$5:$B$104&lt;=$A31+0.000001)*('Hoạt động'!$C$5:$C$104&gt;$A31+0.000001))+SUMPRODUCT(('Thông tin lớp học'!$H$10:$H$49=D$4)*('Thông tin lớp học'!$I$10:$I$49&lt;=$A31+0.000001)*('Thông tin lớp học'!$J$10:$J$49&gt;$A31+0.000001))=0,"",IF(SUMPRODUCT(('Hoạt động'!$A$5:$A$104=D$5)*('Hoạt động'!$B$5:$B$104&lt;=$A31+0.000001)*('Hoạt động'!$C$5:$C$104&gt;$A31+0.000001))+SUMPRODUCT(('Thông tin lớp học'!$H$10:$H$49=D$4)*('Thông tin lớp học'!$I$10:$I$49&lt;=$A31+0.000001)*('Thông tin lớp học'!$J$10:$J$49&gt;$A31+0.000001))&gt;1,"⚠ Trùng lịch",IF(SUMPRODUCT(('Hoạt động'!$A$5:$A$104=D$5)*('Hoạt động'!$B$5:$B$104&lt;=$A31+0.000001)*('Hoạt động'!$C$5:$C$104&gt;$A31+0.000001))=1,INDEX('Hoạt động'!$D$5:$D$104,SUMPRODUCT(('Hoạt động'!$A$5:$A$104=D$5)*('Hoạt động'!$B$5:$B$104&lt;=$A31+0.000001)*('Hoạt động'!$C$5:$C$104&gt;$A31+0.000001)*(ROW('Hoạt động'!$A$5:$A$104)-4))),INDEX('Thông tin lớp học'!$G$10:$G$49,SUMPRODUCT(('Thông tin lớp học'!$H$10:$H$49=D$4)*('Thông tin lớp học'!$I$10:$I$49&lt;=$A31+0.000001)*('Thông tin lớp học'!$J$10:$J$49&gt;$A31+0.000001)*(ROW('Thông tin lớp học'!$H$10:$H$49)-9))))))</f>
        <v/>
      </c>
      <c r="E31" s="123" t="str">
        <f t="array" ref="E31">IF(SUMPRODUCT(('Hoạt động'!$A$5:$A$104=E$5)*('Hoạt động'!$B$5:$B$104&lt;=$A31+0.000001)*('Hoạt động'!$C$5:$C$104&gt;$A31+0.000001))+SUMPRODUCT(('Thông tin lớp học'!$H$10:$H$49=E$4)*('Thông tin lớp học'!$I$10:$I$49&lt;=$A31+0.000001)*('Thông tin lớp học'!$J$10:$J$49&gt;$A31+0.000001))=0,"",IF(SUMPRODUCT(('Hoạt động'!$A$5:$A$104=E$5)*('Hoạt động'!$B$5:$B$104&lt;=$A31+0.000001)*('Hoạt động'!$C$5:$C$104&gt;$A31+0.000001))+SUMPRODUCT(('Thông tin lớp học'!$H$10:$H$49=E$4)*('Thông tin lớp học'!$I$10:$I$49&lt;=$A31+0.000001)*('Thông tin lớp học'!$J$10:$J$49&gt;$A31+0.000001))&gt;1,"⚠ Trùng lịch",IF(SUMPRODUCT(('Hoạt động'!$A$5:$A$104=E$5)*('Hoạt động'!$B$5:$B$104&lt;=$A31+0.000001)*('Hoạt động'!$C$5:$C$104&gt;$A31+0.000001))=1,INDEX('Hoạt động'!$D$5:$D$104,SUMPRODUCT(('Hoạt động'!$A$5:$A$104=E$5)*('Hoạt động'!$B$5:$B$104&lt;=$A31+0.000001)*('Hoạt động'!$C$5:$C$104&gt;$A31+0.000001)*(ROW('Hoạt động'!$A$5:$A$104)-4))),INDEX('Thông tin lớp học'!$G$10:$G$49,SUMPRODUCT(('Thông tin lớp học'!$H$10:$H$49=E$4)*('Thông tin lớp học'!$I$10:$I$49&lt;=$A31+0.000001)*('Thông tin lớp học'!$J$10:$J$49&gt;$A31+0.000001)*(ROW('Thông tin lớp học'!$H$10:$H$49)-9))))))</f>
        <v/>
      </c>
      <c r="F31" s="123" t="str">
        <f t="array" ref="F31">IF(SUMPRODUCT(('Hoạt động'!$A$5:$A$104=F$5)*('Hoạt động'!$B$5:$B$104&lt;=$A31+0.000001)*('Hoạt động'!$C$5:$C$104&gt;$A31+0.000001))+SUMPRODUCT(('Thông tin lớp học'!$H$10:$H$49=F$4)*('Thông tin lớp học'!$I$10:$I$49&lt;=$A31+0.000001)*('Thông tin lớp học'!$J$10:$J$49&gt;$A31+0.000001))=0,"",IF(SUMPRODUCT(('Hoạt động'!$A$5:$A$104=F$5)*('Hoạt động'!$B$5:$B$104&lt;=$A31+0.000001)*('Hoạt động'!$C$5:$C$104&gt;$A31+0.000001))+SUMPRODUCT(('Thông tin lớp học'!$H$10:$H$49=F$4)*('Thông tin lớp học'!$I$10:$I$49&lt;=$A31+0.000001)*('Thông tin lớp học'!$J$10:$J$49&gt;$A31+0.000001))&gt;1,"⚠ Trùng lịch",IF(SUMPRODUCT(('Hoạt động'!$A$5:$A$104=F$5)*('Hoạt động'!$B$5:$B$104&lt;=$A31+0.000001)*('Hoạt động'!$C$5:$C$104&gt;$A31+0.000001))=1,INDEX('Hoạt động'!$D$5:$D$104,SUMPRODUCT(('Hoạt động'!$A$5:$A$104=F$5)*('Hoạt động'!$B$5:$B$104&lt;=$A31+0.000001)*('Hoạt động'!$C$5:$C$104&gt;$A31+0.000001)*(ROW('Hoạt động'!$A$5:$A$104)-4))),INDEX('Thông tin lớp học'!$G$10:$G$49,SUMPRODUCT(('Thông tin lớp học'!$H$10:$H$49=F$4)*('Thông tin lớp học'!$I$10:$I$49&lt;=$A31+0.000001)*('Thông tin lớp học'!$J$10:$J$49&gt;$A31+0.000001)*(ROW('Thông tin lớp học'!$H$10:$H$49)-9))))))</f>
        <v/>
      </c>
      <c r="G31" s="123" t="str">
        <f t="array" ref="G31">IF(SUMPRODUCT(('Hoạt động'!$A$5:$A$104=G$5)*('Hoạt động'!$B$5:$B$104&lt;=$A31+0.000001)*('Hoạt động'!$C$5:$C$104&gt;$A31+0.000001))+SUMPRODUCT(('Thông tin lớp học'!$H$10:$H$49=G$4)*('Thông tin lớp học'!$I$10:$I$49&lt;=$A31+0.000001)*('Thông tin lớp học'!$J$10:$J$49&gt;$A31+0.000001))=0,"",IF(SUMPRODUCT(('Hoạt động'!$A$5:$A$104=G$5)*('Hoạt động'!$B$5:$B$104&lt;=$A31+0.000001)*('Hoạt động'!$C$5:$C$104&gt;$A31+0.000001))+SUMPRODUCT(('Thông tin lớp học'!$H$10:$H$49=G$4)*('Thông tin lớp học'!$I$10:$I$49&lt;=$A31+0.000001)*('Thông tin lớp học'!$J$10:$J$49&gt;$A31+0.000001))&gt;1,"⚠ Trùng lịch",IF(SUMPRODUCT(('Hoạt động'!$A$5:$A$104=G$5)*('Hoạt động'!$B$5:$B$104&lt;=$A31+0.000001)*('Hoạt động'!$C$5:$C$104&gt;$A31+0.000001))=1,INDEX('Hoạt động'!$D$5:$D$104,SUMPRODUCT(('Hoạt động'!$A$5:$A$104=G$5)*('Hoạt động'!$B$5:$B$104&lt;=$A31+0.000001)*('Hoạt động'!$C$5:$C$104&gt;$A31+0.000001)*(ROW('Hoạt động'!$A$5:$A$104)-4))),INDEX('Thông tin lớp học'!$G$10:$G$49,SUMPRODUCT(('Thông tin lớp học'!$H$10:$H$49=G$4)*('Thông tin lớp học'!$I$10:$I$49&lt;=$A31+0.000001)*('Thông tin lớp học'!$J$10:$J$49&gt;$A31+0.000001)*(ROW('Thông tin lớp học'!$H$10:$H$49)-9))))))</f>
        <v/>
      </c>
      <c r="H31" s="123" t="str">
        <f t="array" ref="H31">IF(SUMPRODUCT(('Hoạt động'!$A$5:$A$104=H$5)*('Hoạt động'!$B$5:$B$104&lt;=$A31+0.000001)*('Hoạt động'!$C$5:$C$104&gt;$A31+0.000001))+SUMPRODUCT(('Thông tin lớp học'!$H$10:$H$49=H$4)*('Thông tin lớp học'!$I$10:$I$49&lt;=$A31+0.000001)*('Thông tin lớp học'!$J$10:$J$49&gt;$A31+0.000001))=0,"",IF(SUMPRODUCT(('Hoạt động'!$A$5:$A$104=H$5)*('Hoạt động'!$B$5:$B$104&lt;=$A31+0.000001)*('Hoạt động'!$C$5:$C$104&gt;$A31+0.000001))+SUMPRODUCT(('Thông tin lớp học'!$H$10:$H$49=H$4)*('Thông tin lớp học'!$I$10:$I$49&lt;=$A31+0.000001)*('Thông tin lớp học'!$J$10:$J$49&gt;$A31+0.000001))&gt;1,"⚠ Trùng lịch",IF(SUMPRODUCT(('Hoạt động'!$A$5:$A$104=H$5)*('Hoạt động'!$B$5:$B$104&lt;=$A31+0.000001)*('Hoạt động'!$C$5:$C$104&gt;$A31+0.000001))=1,INDEX('Hoạt động'!$D$5:$D$104,SUMPRODUCT(('Hoạt động'!$A$5:$A$104=H$5)*('Hoạt động'!$B$5:$B$104&lt;=$A31+0.000001)*('Hoạt động'!$C$5:$C$104&gt;$A31+0.000001)*(ROW('Hoạt động'!$A$5:$A$104)-4))),INDEX('Thông tin lớp học'!$G$10:$G$49,SUMPRODUCT(('Thông tin lớp học'!$H$10:$H$49=H$4)*('Thông tin lớp học'!$I$10:$I$49&lt;=$A31+0.000001)*('Thông tin lớp học'!$J$10:$J$49&gt;$A31+0.000001)*(ROW('Thông tin lớp học'!$H$10:$H$49)-9))))))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16">
        <v>0.791666666666667</v>
      </c>
      <c r="B32" s="123" t="str">
        <f t="array" ref="B32">IF(SUMPRODUCT(('Hoạt động'!$A$5:$A$104=B$5)*('Hoạt động'!$B$5:$B$104&lt;=$A32+0.000001)*('Hoạt động'!$C$5:$C$104&gt;$A32+0.000001))+SUMPRODUCT(('Thông tin lớp học'!$H$10:$H$49=B$4)*('Thông tin lớp học'!$I$10:$I$49&lt;=$A32+0.000001)*('Thông tin lớp học'!$J$10:$J$49&gt;$A32+0.000001))=0,"",IF(SUMPRODUCT(('Hoạt động'!$A$5:$A$104=B$5)*('Hoạt động'!$B$5:$B$104&lt;=$A32+0.000001)*('Hoạt động'!$C$5:$C$104&gt;$A32+0.000001))+SUMPRODUCT(('Thông tin lớp học'!$H$10:$H$49=B$4)*('Thông tin lớp học'!$I$10:$I$49&lt;=$A32+0.000001)*('Thông tin lớp học'!$J$10:$J$49&gt;$A32+0.000001))&gt;1,"⚠ Trùng lịch",IF(SUMPRODUCT(('Hoạt động'!$A$5:$A$104=B$5)*('Hoạt động'!$B$5:$B$104&lt;=$A32+0.000001)*('Hoạt động'!$C$5:$C$104&gt;$A32+0.000001))=1,INDEX('Hoạt động'!$D$5:$D$104,SUMPRODUCT(('Hoạt động'!$A$5:$A$104=B$5)*('Hoạt động'!$B$5:$B$104&lt;=$A32+0.000001)*('Hoạt động'!$C$5:$C$104&gt;$A32+0.000001)*(ROW('Hoạt động'!$A$5:$A$104)-4))),INDEX('Thông tin lớp học'!$G$10:$G$49,SUMPRODUCT(('Thông tin lớp học'!$H$10:$H$49=B$4)*('Thông tin lớp học'!$I$10:$I$49&lt;=$A32+0.000001)*('Thông tin lớp học'!$J$10:$J$49&gt;$A32+0.000001)*(ROW('Thông tin lớp học'!$H$10:$H$49)-9))))))</f>
        <v>Đi ăn teambuilding với công ty</v>
      </c>
      <c r="C32" s="123" t="str">
        <f t="array" ref="C32">IF(SUMPRODUCT(('Hoạt động'!$A$5:$A$104=C$5)*('Hoạt động'!$B$5:$B$104&lt;=$A32+0.000001)*('Hoạt động'!$C$5:$C$104&gt;$A32+0.000001))+SUMPRODUCT(('Thông tin lớp học'!$H$10:$H$49=C$4)*('Thông tin lớp học'!$I$10:$I$49&lt;=$A32+0.000001)*('Thông tin lớp học'!$J$10:$J$49&gt;$A32+0.000001))=0,"",IF(SUMPRODUCT(('Hoạt động'!$A$5:$A$104=C$5)*('Hoạt động'!$B$5:$B$104&lt;=$A32+0.000001)*('Hoạt động'!$C$5:$C$104&gt;$A32+0.000001))+SUMPRODUCT(('Thông tin lớp học'!$H$10:$H$49=C$4)*('Thông tin lớp học'!$I$10:$I$49&lt;=$A32+0.000001)*('Thông tin lớp học'!$J$10:$J$49&gt;$A32+0.000001))&gt;1,"⚠ Trùng lịch",IF(SUMPRODUCT(('Hoạt động'!$A$5:$A$104=C$5)*('Hoạt động'!$B$5:$B$104&lt;=$A32+0.000001)*('Hoạt động'!$C$5:$C$104&gt;$A32+0.000001))=1,INDEX('Hoạt động'!$D$5:$D$104,SUMPRODUCT(('Hoạt động'!$A$5:$A$104=C$5)*('Hoạt động'!$B$5:$B$104&lt;=$A32+0.000001)*('Hoạt động'!$C$5:$C$104&gt;$A32+0.000001)*(ROW('Hoạt động'!$A$5:$A$104)-4))),INDEX('Thông tin lớp học'!$G$10:$G$49,SUMPRODUCT(('Thông tin lớp học'!$H$10:$H$49=C$4)*('Thông tin lớp học'!$I$10:$I$49&lt;=$A32+0.000001)*('Thông tin lớp học'!$J$10:$J$49&gt;$A32+0.000001)*(ROW('Thông tin lớp học'!$H$10:$H$49)-9))))))</f>
        <v/>
      </c>
      <c r="D32" s="123" t="str">
        <f t="array" ref="D32">IF(SUMPRODUCT(('Hoạt động'!$A$5:$A$104=D$5)*('Hoạt động'!$B$5:$B$104&lt;=$A32+0.000001)*('Hoạt động'!$C$5:$C$104&gt;$A32+0.000001))+SUMPRODUCT(('Thông tin lớp học'!$H$10:$H$49=D$4)*('Thông tin lớp học'!$I$10:$I$49&lt;=$A32+0.000001)*('Thông tin lớp học'!$J$10:$J$49&gt;$A32+0.000001))=0,"",IF(SUMPRODUCT(('Hoạt động'!$A$5:$A$104=D$5)*('Hoạt động'!$B$5:$B$104&lt;=$A32+0.000001)*('Hoạt động'!$C$5:$C$104&gt;$A32+0.000001))+SUMPRODUCT(('Thông tin lớp học'!$H$10:$H$49=D$4)*('Thông tin lớp học'!$I$10:$I$49&lt;=$A32+0.000001)*('Thông tin lớp học'!$J$10:$J$49&gt;$A32+0.000001))&gt;1,"⚠ Trùng lịch",IF(SUMPRODUCT(('Hoạt động'!$A$5:$A$104=D$5)*('Hoạt động'!$B$5:$B$104&lt;=$A32+0.000001)*('Hoạt động'!$C$5:$C$104&gt;$A32+0.000001))=1,INDEX('Hoạt động'!$D$5:$D$104,SUMPRODUCT(('Hoạt động'!$A$5:$A$104=D$5)*('Hoạt động'!$B$5:$B$104&lt;=$A32+0.000001)*('Hoạt động'!$C$5:$C$104&gt;$A32+0.000001)*(ROW('Hoạt động'!$A$5:$A$104)-4))),INDEX('Thông tin lớp học'!$G$10:$G$49,SUMPRODUCT(('Thông tin lớp học'!$H$10:$H$49=D$4)*('Thông tin lớp học'!$I$10:$I$49&lt;=$A32+0.000001)*('Thông tin lớp học'!$J$10:$J$49&gt;$A32+0.000001)*(ROW('Thông tin lớp học'!$H$10:$H$49)-9))))))</f>
        <v/>
      </c>
      <c r="E32" s="123" t="str">
        <f t="array" ref="E32">IF(SUMPRODUCT(('Hoạt động'!$A$5:$A$104=E$5)*('Hoạt động'!$B$5:$B$104&lt;=$A32+0.000001)*('Hoạt động'!$C$5:$C$104&gt;$A32+0.000001))+SUMPRODUCT(('Thông tin lớp học'!$H$10:$H$49=E$4)*('Thông tin lớp học'!$I$10:$I$49&lt;=$A32+0.000001)*('Thông tin lớp học'!$J$10:$J$49&gt;$A32+0.000001))=0,"",IF(SUMPRODUCT(('Hoạt động'!$A$5:$A$104=E$5)*('Hoạt động'!$B$5:$B$104&lt;=$A32+0.000001)*('Hoạt động'!$C$5:$C$104&gt;$A32+0.000001))+SUMPRODUCT(('Thông tin lớp học'!$H$10:$H$49=E$4)*('Thông tin lớp học'!$I$10:$I$49&lt;=$A32+0.000001)*('Thông tin lớp học'!$J$10:$J$49&gt;$A32+0.000001))&gt;1,"⚠ Trùng lịch",IF(SUMPRODUCT(('Hoạt động'!$A$5:$A$104=E$5)*('Hoạt động'!$B$5:$B$104&lt;=$A32+0.000001)*('Hoạt động'!$C$5:$C$104&gt;$A32+0.000001))=1,INDEX('Hoạt động'!$D$5:$D$104,SUMPRODUCT(('Hoạt động'!$A$5:$A$104=E$5)*('Hoạt động'!$B$5:$B$104&lt;=$A32+0.000001)*('Hoạt động'!$C$5:$C$104&gt;$A32+0.000001)*(ROW('Hoạt động'!$A$5:$A$104)-4))),INDEX('Thông tin lớp học'!$G$10:$G$49,SUMPRODUCT(('Thông tin lớp học'!$H$10:$H$49=E$4)*('Thông tin lớp học'!$I$10:$I$49&lt;=$A32+0.000001)*('Thông tin lớp học'!$J$10:$J$49&gt;$A32+0.000001)*(ROW('Thông tin lớp học'!$H$10:$H$49)-9))))))</f>
        <v/>
      </c>
      <c r="F32" s="123" t="str">
        <f t="array" ref="F32">IF(SUMPRODUCT(('Hoạt động'!$A$5:$A$104=F$5)*('Hoạt động'!$B$5:$B$104&lt;=$A32+0.000001)*('Hoạt động'!$C$5:$C$104&gt;$A32+0.000001))+SUMPRODUCT(('Thông tin lớp học'!$H$10:$H$49=F$4)*('Thông tin lớp học'!$I$10:$I$49&lt;=$A32+0.000001)*('Thông tin lớp học'!$J$10:$J$49&gt;$A32+0.000001))=0,"",IF(SUMPRODUCT(('Hoạt động'!$A$5:$A$104=F$5)*('Hoạt động'!$B$5:$B$104&lt;=$A32+0.000001)*('Hoạt động'!$C$5:$C$104&gt;$A32+0.000001))+SUMPRODUCT(('Thông tin lớp học'!$H$10:$H$49=F$4)*('Thông tin lớp học'!$I$10:$I$49&lt;=$A32+0.000001)*('Thông tin lớp học'!$J$10:$J$49&gt;$A32+0.000001))&gt;1,"⚠ Trùng lịch",IF(SUMPRODUCT(('Hoạt động'!$A$5:$A$104=F$5)*('Hoạt động'!$B$5:$B$104&lt;=$A32+0.000001)*('Hoạt động'!$C$5:$C$104&gt;$A32+0.000001))=1,INDEX('Hoạt động'!$D$5:$D$104,SUMPRODUCT(('Hoạt động'!$A$5:$A$104=F$5)*('Hoạt động'!$B$5:$B$104&lt;=$A32+0.000001)*('Hoạt động'!$C$5:$C$104&gt;$A32+0.000001)*(ROW('Hoạt động'!$A$5:$A$104)-4))),INDEX('Thông tin lớp học'!$G$10:$G$49,SUMPRODUCT(('Thông tin lớp học'!$H$10:$H$49=F$4)*('Thông tin lớp học'!$I$10:$I$49&lt;=$A32+0.000001)*('Thông tin lớp học'!$J$10:$J$49&gt;$A32+0.000001)*(ROW('Thông tin lớp học'!$H$10:$H$49)-9))))))</f>
        <v/>
      </c>
      <c r="G32" s="123" t="str">
        <f t="array" ref="G32">IF(SUMPRODUCT(('Hoạt động'!$A$5:$A$104=G$5)*('Hoạt động'!$B$5:$B$104&lt;=$A32+0.000001)*('Hoạt động'!$C$5:$C$104&gt;$A32+0.000001))+SUMPRODUCT(('Thông tin lớp học'!$H$10:$H$49=G$4)*('Thông tin lớp học'!$I$10:$I$49&lt;=$A32+0.000001)*('Thông tin lớp học'!$J$10:$J$49&gt;$A32+0.000001))=0,"",IF(SUMPRODUCT(('Hoạt động'!$A$5:$A$104=G$5)*('Hoạt động'!$B$5:$B$104&lt;=$A32+0.000001)*('Hoạt động'!$C$5:$C$104&gt;$A32+0.000001))+SUMPRODUCT(('Thông tin lớp học'!$H$10:$H$49=G$4)*('Thông tin lớp học'!$I$10:$I$49&lt;=$A32+0.000001)*('Thông tin lớp học'!$J$10:$J$49&gt;$A32+0.000001))&gt;1,"⚠ Trùng lịch",IF(SUMPRODUCT(('Hoạt động'!$A$5:$A$104=G$5)*('Hoạt động'!$B$5:$B$104&lt;=$A32+0.000001)*('Hoạt động'!$C$5:$C$104&gt;$A32+0.000001))=1,INDEX('Hoạt động'!$D$5:$D$104,SUMPRODUCT(('Hoạt động'!$A$5:$A$104=G$5)*('Hoạt động'!$B$5:$B$104&lt;=$A32+0.000001)*('Hoạt động'!$C$5:$C$104&gt;$A32+0.000001)*(ROW('Hoạt động'!$A$5:$A$104)-4))),INDEX('Thông tin lớp học'!$G$10:$G$49,SUMPRODUCT(('Thông tin lớp học'!$H$10:$H$49=G$4)*('Thông tin lớp học'!$I$10:$I$49&lt;=$A32+0.000001)*('Thông tin lớp học'!$J$10:$J$49&gt;$A32+0.000001)*(ROW('Thông tin lớp học'!$H$10:$H$49)-9))))))</f>
        <v/>
      </c>
      <c r="H32" s="123" t="str">
        <f t="array" ref="H32">IF(SUMPRODUCT(('Hoạt động'!$A$5:$A$104=H$5)*('Hoạt động'!$B$5:$B$104&lt;=$A32+0.000001)*('Hoạt động'!$C$5:$C$104&gt;$A32+0.000001))+SUMPRODUCT(('Thông tin lớp học'!$H$10:$H$49=H$4)*('Thông tin lớp học'!$I$10:$I$49&lt;=$A32+0.000001)*('Thông tin lớp học'!$J$10:$J$49&gt;$A32+0.000001))=0,"",IF(SUMPRODUCT(('Hoạt động'!$A$5:$A$104=H$5)*('Hoạt động'!$B$5:$B$104&lt;=$A32+0.000001)*('Hoạt động'!$C$5:$C$104&gt;$A32+0.000001))+SUMPRODUCT(('Thông tin lớp học'!$H$10:$H$49=H$4)*('Thông tin lớp học'!$I$10:$I$49&lt;=$A32+0.000001)*('Thông tin lớp học'!$J$10:$J$49&gt;$A32+0.000001))&gt;1,"⚠ Trùng lịch",IF(SUMPRODUCT(('Hoạt động'!$A$5:$A$104=H$5)*('Hoạt động'!$B$5:$B$104&lt;=$A32+0.000001)*('Hoạt động'!$C$5:$C$104&gt;$A32+0.000001))=1,INDEX('Hoạt động'!$D$5:$D$104,SUMPRODUCT(('Hoạt động'!$A$5:$A$104=H$5)*('Hoạt động'!$B$5:$B$104&lt;=$A32+0.000001)*('Hoạt động'!$C$5:$C$104&gt;$A32+0.000001)*(ROW('Hoạt động'!$A$5:$A$104)-4))),INDEX('Thông tin lớp học'!$G$10:$G$49,SUMPRODUCT(('Thông tin lớp học'!$H$10:$H$49=H$4)*('Thông tin lớp học'!$I$10:$I$49&lt;=$A32+0.000001)*('Thông tin lớp học'!$J$10:$J$49&gt;$A32+0.000001)*(ROW('Thông tin lớp học'!$H$10:$H$49)-9))))))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16">
        <v>0.8125</v>
      </c>
      <c r="B33" s="123" t="str">
        <f t="array" ref="B33">IF(SUMPRODUCT(('Hoạt động'!$A$5:$A$104=B$5)*('Hoạt động'!$B$5:$B$104&lt;=$A33+0.000001)*('Hoạt động'!$C$5:$C$104&gt;$A33+0.000001))+SUMPRODUCT(('Thông tin lớp học'!$H$10:$H$49=B$4)*('Thông tin lớp học'!$I$10:$I$49&lt;=$A33+0.000001)*('Thông tin lớp học'!$J$10:$J$49&gt;$A33+0.000001))=0,"",IF(SUMPRODUCT(('Hoạt động'!$A$5:$A$104=B$5)*('Hoạt động'!$B$5:$B$104&lt;=$A33+0.000001)*('Hoạt động'!$C$5:$C$104&gt;$A33+0.000001))+SUMPRODUCT(('Thông tin lớp học'!$H$10:$H$49=B$4)*('Thông tin lớp học'!$I$10:$I$49&lt;=$A33+0.000001)*('Thông tin lớp học'!$J$10:$J$49&gt;$A33+0.000001))&gt;1,"⚠ Trùng lịch",IF(SUMPRODUCT(('Hoạt động'!$A$5:$A$104=B$5)*('Hoạt động'!$B$5:$B$104&lt;=$A33+0.000001)*('Hoạt động'!$C$5:$C$104&gt;$A33+0.000001))=1,INDEX('Hoạt động'!$D$5:$D$104,SUMPRODUCT(('Hoạt động'!$A$5:$A$104=B$5)*('Hoạt động'!$B$5:$B$104&lt;=$A33+0.000001)*('Hoạt động'!$C$5:$C$104&gt;$A33+0.000001)*(ROW('Hoạt động'!$A$5:$A$104)-4))),INDEX('Thông tin lớp học'!$G$10:$G$49,SUMPRODUCT(('Thông tin lớp học'!$H$10:$H$49=B$4)*('Thông tin lớp học'!$I$10:$I$49&lt;=$A33+0.000001)*('Thông tin lớp học'!$J$10:$J$49&gt;$A33+0.000001)*(ROW('Thông tin lớp học'!$H$10:$H$49)-9))))))</f>
        <v>Đi ăn teambuilding với công ty</v>
      </c>
      <c r="C33" s="123" t="str">
        <f t="array" ref="C33">IF(SUMPRODUCT(('Hoạt động'!$A$5:$A$104=C$5)*('Hoạt động'!$B$5:$B$104&lt;=$A33+0.000001)*('Hoạt động'!$C$5:$C$104&gt;$A33+0.000001))+SUMPRODUCT(('Thông tin lớp học'!$H$10:$H$49=C$4)*('Thông tin lớp học'!$I$10:$I$49&lt;=$A33+0.000001)*('Thông tin lớp học'!$J$10:$J$49&gt;$A33+0.000001))=0,"",IF(SUMPRODUCT(('Hoạt động'!$A$5:$A$104=C$5)*('Hoạt động'!$B$5:$B$104&lt;=$A33+0.000001)*('Hoạt động'!$C$5:$C$104&gt;$A33+0.000001))+SUMPRODUCT(('Thông tin lớp học'!$H$10:$H$49=C$4)*('Thông tin lớp học'!$I$10:$I$49&lt;=$A33+0.000001)*('Thông tin lớp học'!$J$10:$J$49&gt;$A33+0.000001))&gt;1,"⚠ Trùng lịch",IF(SUMPRODUCT(('Hoạt động'!$A$5:$A$104=C$5)*('Hoạt động'!$B$5:$B$104&lt;=$A33+0.000001)*('Hoạt động'!$C$5:$C$104&gt;$A33+0.000001))=1,INDEX('Hoạt động'!$D$5:$D$104,SUMPRODUCT(('Hoạt động'!$A$5:$A$104=C$5)*('Hoạt động'!$B$5:$B$104&lt;=$A33+0.000001)*('Hoạt động'!$C$5:$C$104&gt;$A33+0.000001)*(ROW('Hoạt động'!$A$5:$A$104)-4))),INDEX('Thông tin lớp học'!$G$10:$G$49,SUMPRODUCT(('Thông tin lớp học'!$H$10:$H$49=C$4)*('Thông tin lớp học'!$I$10:$I$49&lt;=$A33+0.000001)*('Thông tin lớp học'!$J$10:$J$49&gt;$A33+0.000001)*(ROW('Thông tin lớp học'!$H$10:$H$49)-9))))))</f>
        <v/>
      </c>
      <c r="D33" s="123" t="str">
        <f t="array" ref="D33">IF(SUMPRODUCT(('Hoạt động'!$A$5:$A$104=D$5)*('Hoạt động'!$B$5:$B$104&lt;=$A33+0.000001)*('Hoạt động'!$C$5:$C$104&gt;$A33+0.000001))+SUMPRODUCT(('Thông tin lớp học'!$H$10:$H$49=D$4)*('Thông tin lớp học'!$I$10:$I$49&lt;=$A33+0.000001)*('Thông tin lớp học'!$J$10:$J$49&gt;$A33+0.000001))=0,"",IF(SUMPRODUCT(('Hoạt động'!$A$5:$A$104=D$5)*('Hoạt động'!$B$5:$B$104&lt;=$A33+0.000001)*('Hoạt động'!$C$5:$C$104&gt;$A33+0.000001))+SUMPRODUCT(('Thông tin lớp học'!$H$10:$H$49=D$4)*('Thông tin lớp học'!$I$10:$I$49&lt;=$A33+0.000001)*('Thông tin lớp học'!$J$10:$J$49&gt;$A33+0.000001))&gt;1,"⚠ Trùng lịch",IF(SUMPRODUCT(('Hoạt động'!$A$5:$A$104=D$5)*('Hoạt động'!$B$5:$B$104&lt;=$A33+0.000001)*('Hoạt động'!$C$5:$C$104&gt;$A33+0.000001))=1,INDEX('Hoạt động'!$D$5:$D$104,SUMPRODUCT(('Hoạt động'!$A$5:$A$104=D$5)*('Hoạt động'!$B$5:$B$104&lt;=$A33+0.000001)*('Hoạt động'!$C$5:$C$104&gt;$A33+0.000001)*(ROW('Hoạt động'!$A$5:$A$104)-4))),INDEX('Thông tin lớp học'!$G$10:$G$49,SUMPRODUCT(('Thông tin lớp học'!$H$10:$H$49=D$4)*('Thông tin lớp học'!$I$10:$I$49&lt;=$A33+0.000001)*('Thông tin lớp học'!$J$10:$J$49&gt;$A33+0.000001)*(ROW('Thông tin lớp học'!$H$10:$H$49)-9))))))</f>
        <v/>
      </c>
      <c r="E33" s="123" t="str">
        <f t="array" ref="E33">IF(SUMPRODUCT(('Hoạt động'!$A$5:$A$104=E$5)*('Hoạt động'!$B$5:$B$104&lt;=$A33+0.000001)*('Hoạt động'!$C$5:$C$104&gt;$A33+0.000001))+SUMPRODUCT(('Thông tin lớp học'!$H$10:$H$49=E$4)*('Thông tin lớp học'!$I$10:$I$49&lt;=$A33+0.000001)*('Thông tin lớp học'!$J$10:$J$49&gt;$A33+0.000001))=0,"",IF(SUMPRODUCT(('Hoạt động'!$A$5:$A$104=E$5)*('Hoạt động'!$B$5:$B$104&lt;=$A33+0.000001)*('Hoạt động'!$C$5:$C$104&gt;$A33+0.000001))+SUMPRODUCT(('Thông tin lớp học'!$H$10:$H$49=E$4)*('Thông tin lớp học'!$I$10:$I$49&lt;=$A33+0.000001)*('Thông tin lớp học'!$J$10:$J$49&gt;$A33+0.000001))&gt;1,"⚠ Trùng lịch",IF(SUMPRODUCT(('Hoạt động'!$A$5:$A$104=E$5)*('Hoạt động'!$B$5:$B$104&lt;=$A33+0.000001)*('Hoạt động'!$C$5:$C$104&gt;$A33+0.000001))=1,INDEX('Hoạt động'!$D$5:$D$104,SUMPRODUCT(('Hoạt động'!$A$5:$A$104=E$5)*('Hoạt động'!$B$5:$B$104&lt;=$A33+0.000001)*('Hoạt động'!$C$5:$C$104&gt;$A33+0.000001)*(ROW('Hoạt động'!$A$5:$A$104)-4))),INDEX('Thông tin lớp học'!$G$10:$G$49,SUMPRODUCT(('Thông tin lớp học'!$H$10:$H$49=E$4)*('Thông tin lớp học'!$I$10:$I$49&lt;=$A33+0.000001)*('Thông tin lớp học'!$J$10:$J$49&gt;$A33+0.000001)*(ROW('Thông tin lớp học'!$H$10:$H$49)-9))))))</f>
        <v/>
      </c>
      <c r="F33" s="123" t="str">
        <f t="array" ref="F33">IF(SUMPRODUCT(('Hoạt động'!$A$5:$A$104=F$5)*('Hoạt động'!$B$5:$B$104&lt;=$A33+0.000001)*('Hoạt động'!$C$5:$C$104&gt;$A33+0.000001))+SUMPRODUCT(('Thông tin lớp học'!$H$10:$H$49=F$4)*('Thông tin lớp học'!$I$10:$I$49&lt;=$A33+0.000001)*('Thông tin lớp học'!$J$10:$J$49&gt;$A33+0.000001))=0,"",IF(SUMPRODUCT(('Hoạt động'!$A$5:$A$104=F$5)*('Hoạt động'!$B$5:$B$104&lt;=$A33+0.000001)*('Hoạt động'!$C$5:$C$104&gt;$A33+0.000001))+SUMPRODUCT(('Thông tin lớp học'!$H$10:$H$49=F$4)*('Thông tin lớp học'!$I$10:$I$49&lt;=$A33+0.000001)*('Thông tin lớp học'!$J$10:$J$49&gt;$A33+0.000001))&gt;1,"⚠ Trùng lịch",IF(SUMPRODUCT(('Hoạt động'!$A$5:$A$104=F$5)*('Hoạt động'!$B$5:$B$104&lt;=$A33+0.000001)*('Hoạt động'!$C$5:$C$104&gt;$A33+0.000001))=1,INDEX('Hoạt động'!$D$5:$D$104,SUMPRODUCT(('Hoạt động'!$A$5:$A$104=F$5)*('Hoạt động'!$B$5:$B$104&lt;=$A33+0.000001)*('Hoạt động'!$C$5:$C$104&gt;$A33+0.000001)*(ROW('Hoạt động'!$A$5:$A$104)-4))),INDEX('Thông tin lớp học'!$G$10:$G$49,SUMPRODUCT(('Thông tin lớp học'!$H$10:$H$49=F$4)*('Thông tin lớp học'!$I$10:$I$49&lt;=$A33+0.000001)*('Thông tin lớp học'!$J$10:$J$49&gt;$A33+0.000001)*(ROW('Thông tin lớp học'!$H$10:$H$49)-9))))))</f>
        <v/>
      </c>
      <c r="G33" s="123" t="str">
        <f t="array" ref="G33">IF(SUMPRODUCT(('Hoạt động'!$A$5:$A$104=G$5)*('Hoạt động'!$B$5:$B$104&lt;=$A33+0.000001)*('Hoạt động'!$C$5:$C$104&gt;$A33+0.000001))+SUMPRODUCT(('Thông tin lớp học'!$H$10:$H$49=G$4)*('Thông tin lớp học'!$I$10:$I$49&lt;=$A33+0.000001)*('Thông tin lớp học'!$J$10:$J$49&gt;$A33+0.000001))=0,"",IF(SUMPRODUCT(('Hoạt động'!$A$5:$A$104=G$5)*('Hoạt động'!$B$5:$B$104&lt;=$A33+0.000001)*('Hoạt động'!$C$5:$C$104&gt;$A33+0.000001))+SUMPRODUCT(('Thông tin lớp học'!$H$10:$H$49=G$4)*('Thông tin lớp học'!$I$10:$I$49&lt;=$A33+0.000001)*('Thông tin lớp học'!$J$10:$J$49&gt;$A33+0.000001))&gt;1,"⚠ Trùng lịch",IF(SUMPRODUCT(('Hoạt động'!$A$5:$A$104=G$5)*('Hoạt động'!$B$5:$B$104&lt;=$A33+0.000001)*('Hoạt động'!$C$5:$C$104&gt;$A33+0.000001))=1,INDEX('Hoạt động'!$D$5:$D$104,SUMPRODUCT(('Hoạt động'!$A$5:$A$104=G$5)*('Hoạt động'!$B$5:$B$104&lt;=$A33+0.000001)*('Hoạt động'!$C$5:$C$104&gt;$A33+0.000001)*(ROW('Hoạt động'!$A$5:$A$104)-4))),INDEX('Thông tin lớp học'!$G$10:$G$49,SUMPRODUCT(('Thông tin lớp học'!$H$10:$H$49=G$4)*('Thông tin lớp học'!$I$10:$I$49&lt;=$A33+0.000001)*('Thông tin lớp học'!$J$10:$J$49&gt;$A33+0.000001)*(ROW('Thông tin lớp học'!$H$10:$H$49)-9))))))</f>
        <v/>
      </c>
      <c r="H33" s="123" t="str">
        <f t="array" ref="H33">IF(SUMPRODUCT(('Hoạt động'!$A$5:$A$104=H$5)*('Hoạt động'!$B$5:$B$104&lt;=$A33+0.000001)*('Hoạt động'!$C$5:$C$104&gt;$A33+0.000001))+SUMPRODUCT(('Thông tin lớp học'!$H$10:$H$49=H$4)*('Thông tin lớp học'!$I$10:$I$49&lt;=$A33+0.000001)*('Thông tin lớp học'!$J$10:$J$49&gt;$A33+0.000001))=0,"",IF(SUMPRODUCT(('Hoạt động'!$A$5:$A$104=H$5)*('Hoạt động'!$B$5:$B$104&lt;=$A33+0.000001)*('Hoạt động'!$C$5:$C$104&gt;$A33+0.000001))+SUMPRODUCT(('Thông tin lớp học'!$H$10:$H$49=H$4)*('Thông tin lớp học'!$I$10:$I$49&lt;=$A33+0.000001)*('Thông tin lớp học'!$J$10:$J$49&gt;$A33+0.000001))&gt;1,"⚠ Trùng lịch",IF(SUMPRODUCT(('Hoạt động'!$A$5:$A$104=H$5)*('Hoạt động'!$B$5:$B$104&lt;=$A33+0.000001)*('Hoạt động'!$C$5:$C$104&gt;$A33+0.000001))=1,INDEX('Hoạt động'!$D$5:$D$104,SUMPRODUCT(('Hoạt động'!$A$5:$A$104=H$5)*('Hoạt động'!$B$5:$B$104&lt;=$A33+0.000001)*('Hoạt động'!$C$5:$C$104&gt;$A33+0.000001)*(ROW('Hoạt động'!$A$5:$A$104)-4))),INDEX('Thông tin lớp học'!$G$10:$G$49,SUMPRODUCT(('Thông tin lớp học'!$H$10:$H$49=H$4)*('Thông tin lớp học'!$I$10:$I$49&lt;=$A33+0.000001)*('Thông tin lớp học'!$J$10:$J$49&gt;$A33+0.000001)*(ROW('Thông tin lớp học'!$H$10:$H$49)-9))))))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16">
        <v>0.833333333333333</v>
      </c>
      <c r="B34" s="123" t="str">
        <f t="array" ref="B34">IF(SUMPRODUCT(('Hoạt động'!$A$5:$A$104=B$5)*('Hoạt động'!$B$5:$B$104&lt;=$A34+0.000001)*('Hoạt động'!$C$5:$C$104&gt;$A34+0.000001))+SUMPRODUCT(('Thông tin lớp học'!$H$10:$H$49=B$4)*('Thông tin lớp học'!$I$10:$I$49&lt;=$A34+0.000001)*('Thông tin lớp học'!$J$10:$J$49&gt;$A34+0.000001))=0,"",IF(SUMPRODUCT(('Hoạt động'!$A$5:$A$104=B$5)*('Hoạt động'!$B$5:$B$104&lt;=$A34+0.000001)*('Hoạt động'!$C$5:$C$104&gt;$A34+0.000001))+SUMPRODUCT(('Thông tin lớp học'!$H$10:$H$49=B$4)*('Thông tin lớp học'!$I$10:$I$49&lt;=$A34+0.000001)*('Thông tin lớp học'!$J$10:$J$49&gt;$A34+0.000001))&gt;1,"⚠ Trùng lịch",IF(SUMPRODUCT(('Hoạt động'!$A$5:$A$104=B$5)*('Hoạt động'!$B$5:$B$104&lt;=$A34+0.000001)*('Hoạt động'!$C$5:$C$104&gt;$A34+0.000001))=1,INDEX('Hoạt động'!$D$5:$D$104,SUMPRODUCT(('Hoạt động'!$A$5:$A$104=B$5)*('Hoạt động'!$B$5:$B$104&lt;=$A34+0.000001)*('Hoạt động'!$C$5:$C$104&gt;$A34+0.000001)*(ROW('Hoạt động'!$A$5:$A$104)-4))),INDEX('Thông tin lớp học'!$G$10:$G$49,SUMPRODUCT(('Thông tin lớp học'!$H$10:$H$49=B$4)*('Thông tin lớp học'!$I$10:$I$49&lt;=$A34+0.000001)*('Thông tin lớp học'!$J$10:$J$49&gt;$A34+0.000001)*(ROW('Thông tin lớp học'!$H$10:$H$49)-9))))))</f>
        <v>Đi ăn teambuilding với công ty</v>
      </c>
      <c r="C34" s="123" t="str">
        <f t="array" ref="C34">IF(SUMPRODUCT(('Hoạt động'!$A$5:$A$104=C$5)*('Hoạt động'!$B$5:$B$104&lt;=$A34+0.000001)*('Hoạt động'!$C$5:$C$104&gt;$A34+0.000001))+SUMPRODUCT(('Thông tin lớp học'!$H$10:$H$49=C$4)*('Thông tin lớp học'!$I$10:$I$49&lt;=$A34+0.000001)*('Thông tin lớp học'!$J$10:$J$49&gt;$A34+0.000001))=0,"",IF(SUMPRODUCT(('Hoạt động'!$A$5:$A$104=C$5)*('Hoạt động'!$B$5:$B$104&lt;=$A34+0.000001)*('Hoạt động'!$C$5:$C$104&gt;$A34+0.000001))+SUMPRODUCT(('Thông tin lớp học'!$H$10:$H$49=C$4)*('Thông tin lớp học'!$I$10:$I$49&lt;=$A34+0.000001)*('Thông tin lớp học'!$J$10:$J$49&gt;$A34+0.000001))&gt;1,"⚠ Trùng lịch",IF(SUMPRODUCT(('Hoạt động'!$A$5:$A$104=C$5)*('Hoạt động'!$B$5:$B$104&lt;=$A34+0.000001)*('Hoạt động'!$C$5:$C$104&gt;$A34+0.000001))=1,INDEX('Hoạt động'!$D$5:$D$104,SUMPRODUCT(('Hoạt động'!$A$5:$A$104=C$5)*('Hoạt động'!$B$5:$B$104&lt;=$A34+0.000001)*('Hoạt động'!$C$5:$C$104&gt;$A34+0.000001)*(ROW('Hoạt động'!$A$5:$A$104)-4))),INDEX('Thông tin lớp học'!$G$10:$G$49,SUMPRODUCT(('Thông tin lớp học'!$H$10:$H$49=C$4)*('Thông tin lớp học'!$I$10:$I$49&lt;=$A34+0.000001)*('Thông tin lớp học'!$J$10:$J$49&gt;$A34+0.000001)*(ROW('Thông tin lớp học'!$H$10:$H$49)-9))))))</f>
        <v/>
      </c>
      <c r="D34" s="123" t="str">
        <f t="array" ref="D34">IF(SUMPRODUCT(('Hoạt động'!$A$5:$A$104=D$5)*('Hoạt động'!$B$5:$B$104&lt;=$A34+0.000001)*('Hoạt động'!$C$5:$C$104&gt;$A34+0.000001))+SUMPRODUCT(('Thông tin lớp học'!$H$10:$H$49=D$4)*('Thông tin lớp học'!$I$10:$I$49&lt;=$A34+0.000001)*('Thông tin lớp học'!$J$10:$J$49&gt;$A34+0.000001))=0,"",IF(SUMPRODUCT(('Hoạt động'!$A$5:$A$104=D$5)*('Hoạt động'!$B$5:$B$104&lt;=$A34+0.000001)*('Hoạt động'!$C$5:$C$104&gt;$A34+0.000001))+SUMPRODUCT(('Thông tin lớp học'!$H$10:$H$49=D$4)*('Thông tin lớp học'!$I$10:$I$49&lt;=$A34+0.000001)*('Thông tin lớp học'!$J$10:$J$49&gt;$A34+0.000001))&gt;1,"⚠ Trùng lịch",IF(SUMPRODUCT(('Hoạt động'!$A$5:$A$104=D$5)*('Hoạt động'!$B$5:$B$104&lt;=$A34+0.000001)*('Hoạt động'!$C$5:$C$104&gt;$A34+0.000001))=1,INDEX('Hoạt động'!$D$5:$D$104,SUMPRODUCT(('Hoạt động'!$A$5:$A$104=D$5)*('Hoạt động'!$B$5:$B$104&lt;=$A34+0.000001)*('Hoạt động'!$C$5:$C$104&gt;$A34+0.000001)*(ROW('Hoạt động'!$A$5:$A$104)-4))),INDEX('Thông tin lớp học'!$G$10:$G$49,SUMPRODUCT(('Thông tin lớp học'!$H$10:$H$49=D$4)*('Thông tin lớp học'!$I$10:$I$49&lt;=$A34+0.000001)*('Thông tin lớp học'!$J$10:$J$49&gt;$A34+0.000001)*(ROW('Thông tin lớp học'!$H$10:$H$49)-9))))))</f>
        <v/>
      </c>
      <c r="E34" s="123" t="str">
        <f t="array" ref="E34">IF(SUMPRODUCT(('Hoạt động'!$A$5:$A$104=E$5)*('Hoạt động'!$B$5:$B$104&lt;=$A34+0.000001)*('Hoạt động'!$C$5:$C$104&gt;$A34+0.000001))+SUMPRODUCT(('Thông tin lớp học'!$H$10:$H$49=E$4)*('Thông tin lớp học'!$I$10:$I$49&lt;=$A34+0.000001)*('Thông tin lớp học'!$J$10:$J$49&gt;$A34+0.000001))=0,"",IF(SUMPRODUCT(('Hoạt động'!$A$5:$A$104=E$5)*('Hoạt động'!$B$5:$B$104&lt;=$A34+0.000001)*('Hoạt động'!$C$5:$C$104&gt;$A34+0.000001))+SUMPRODUCT(('Thông tin lớp học'!$H$10:$H$49=E$4)*('Thông tin lớp học'!$I$10:$I$49&lt;=$A34+0.000001)*('Thông tin lớp học'!$J$10:$J$49&gt;$A34+0.000001))&gt;1,"⚠ Trùng lịch",IF(SUMPRODUCT(('Hoạt động'!$A$5:$A$104=E$5)*('Hoạt động'!$B$5:$B$104&lt;=$A34+0.000001)*('Hoạt động'!$C$5:$C$104&gt;$A34+0.000001))=1,INDEX('Hoạt động'!$D$5:$D$104,SUMPRODUCT(('Hoạt động'!$A$5:$A$104=E$5)*('Hoạt động'!$B$5:$B$104&lt;=$A34+0.000001)*('Hoạt động'!$C$5:$C$104&gt;$A34+0.000001)*(ROW('Hoạt động'!$A$5:$A$104)-4))),INDEX('Thông tin lớp học'!$G$10:$G$49,SUMPRODUCT(('Thông tin lớp học'!$H$10:$H$49=E$4)*('Thông tin lớp học'!$I$10:$I$49&lt;=$A34+0.000001)*('Thông tin lớp học'!$J$10:$J$49&gt;$A34+0.000001)*(ROW('Thông tin lớp học'!$H$10:$H$49)-9))))))</f>
        <v/>
      </c>
      <c r="F34" s="123" t="str">
        <f t="array" ref="F34">IF(SUMPRODUCT(('Hoạt động'!$A$5:$A$104=F$5)*('Hoạt động'!$B$5:$B$104&lt;=$A34+0.000001)*('Hoạt động'!$C$5:$C$104&gt;$A34+0.000001))+SUMPRODUCT(('Thông tin lớp học'!$H$10:$H$49=F$4)*('Thông tin lớp học'!$I$10:$I$49&lt;=$A34+0.000001)*('Thông tin lớp học'!$J$10:$J$49&gt;$A34+0.000001))=0,"",IF(SUMPRODUCT(('Hoạt động'!$A$5:$A$104=F$5)*('Hoạt động'!$B$5:$B$104&lt;=$A34+0.000001)*('Hoạt động'!$C$5:$C$104&gt;$A34+0.000001))+SUMPRODUCT(('Thông tin lớp học'!$H$10:$H$49=F$4)*('Thông tin lớp học'!$I$10:$I$49&lt;=$A34+0.000001)*('Thông tin lớp học'!$J$10:$J$49&gt;$A34+0.000001))&gt;1,"⚠ Trùng lịch",IF(SUMPRODUCT(('Hoạt động'!$A$5:$A$104=F$5)*('Hoạt động'!$B$5:$B$104&lt;=$A34+0.000001)*('Hoạt động'!$C$5:$C$104&gt;$A34+0.000001))=1,INDEX('Hoạt động'!$D$5:$D$104,SUMPRODUCT(('Hoạt động'!$A$5:$A$104=F$5)*('Hoạt động'!$B$5:$B$104&lt;=$A34+0.000001)*('Hoạt động'!$C$5:$C$104&gt;$A34+0.000001)*(ROW('Hoạt động'!$A$5:$A$104)-4))),INDEX('Thông tin lớp học'!$G$10:$G$49,SUMPRODUCT(('Thông tin lớp học'!$H$10:$H$49=F$4)*('Thông tin lớp học'!$I$10:$I$49&lt;=$A34+0.000001)*('Thông tin lớp học'!$J$10:$J$49&gt;$A34+0.000001)*(ROW('Thông tin lớp học'!$H$10:$H$49)-9))))))</f>
        <v/>
      </c>
      <c r="G34" s="123" t="str">
        <f t="array" ref="G34">IF(SUMPRODUCT(('Hoạt động'!$A$5:$A$104=G$5)*('Hoạt động'!$B$5:$B$104&lt;=$A34+0.000001)*('Hoạt động'!$C$5:$C$104&gt;$A34+0.000001))+SUMPRODUCT(('Thông tin lớp học'!$H$10:$H$49=G$4)*('Thông tin lớp học'!$I$10:$I$49&lt;=$A34+0.000001)*('Thông tin lớp học'!$J$10:$J$49&gt;$A34+0.000001))=0,"",IF(SUMPRODUCT(('Hoạt động'!$A$5:$A$104=G$5)*('Hoạt động'!$B$5:$B$104&lt;=$A34+0.000001)*('Hoạt động'!$C$5:$C$104&gt;$A34+0.000001))+SUMPRODUCT(('Thông tin lớp học'!$H$10:$H$49=G$4)*('Thông tin lớp học'!$I$10:$I$49&lt;=$A34+0.000001)*('Thông tin lớp học'!$J$10:$J$49&gt;$A34+0.000001))&gt;1,"⚠ Trùng lịch",IF(SUMPRODUCT(('Hoạt động'!$A$5:$A$104=G$5)*('Hoạt động'!$B$5:$B$104&lt;=$A34+0.000001)*('Hoạt động'!$C$5:$C$104&gt;$A34+0.000001))=1,INDEX('Hoạt động'!$D$5:$D$104,SUMPRODUCT(('Hoạt động'!$A$5:$A$104=G$5)*('Hoạt động'!$B$5:$B$104&lt;=$A34+0.000001)*('Hoạt động'!$C$5:$C$104&gt;$A34+0.000001)*(ROW('Hoạt động'!$A$5:$A$104)-4))),INDEX('Thông tin lớp học'!$G$10:$G$49,SUMPRODUCT(('Thông tin lớp học'!$H$10:$H$49=G$4)*('Thông tin lớp học'!$I$10:$I$49&lt;=$A34+0.000001)*('Thông tin lớp học'!$J$10:$J$49&gt;$A34+0.000001)*(ROW('Thông tin lớp học'!$H$10:$H$49)-9))))))</f>
        <v/>
      </c>
      <c r="H34" s="123" t="str">
        <f t="array" ref="H34">IF(SUMPRODUCT(('Hoạt động'!$A$5:$A$104=H$5)*('Hoạt động'!$B$5:$B$104&lt;=$A34+0.000001)*('Hoạt động'!$C$5:$C$104&gt;$A34+0.000001))+SUMPRODUCT(('Thông tin lớp học'!$H$10:$H$49=H$4)*('Thông tin lớp học'!$I$10:$I$49&lt;=$A34+0.000001)*('Thông tin lớp học'!$J$10:$J$49&gt;$A34+0.000001))=0,"",IF(SUMPRODUCT(('Hoạt động'!$A$5:$A$104=H$5)*('Hoạt động'!$B$5:$B$104&lt;=$A34+0.000001)*('Hoạt động'!$C$5:$C$104&gt;$A34+0.000001))+SUMPRODUCT(('Thông tin lớp học'!$H$10:$H$49=H$4)*('Thông tin lớp học'!$I$10:$I$49&lt;=$A34+0.000001)*('Thông tin lớp học'!$J$10:$J$49&gt;$A34+0.000001))&gt;1,"⚠ Trùng lịch",IF(SUMPRODUCT(('Hoạt động'!$A$5:$A$104=H$5)*('Hoạt động'!$B$5:$B$104&lt;=$A34+0.000001)*('Hoạt động'!$C$5:$C$104&gt;$A34+0.000001))=1,INDEX('Hoạt động'!$D$5:$D$104,SUMPRODUCT(('Hoạt động'!$A$5:$A$104=H$5)*('Hoạt động'!$B$5:$B$104&lt;=$A34+0.000001)*('Hoạt động'!$C$5:$C$104&gt;$A34+0.000001)*(ROW('Hoạt động'!$A$5:$A$104)-4))),INDEX('Thông tin lớp học'!$G$10:$G$49,SUMPRODUCT(('Thông tin lớp học'!$H$10:$H$49=H$4)*('Thông tin lớp học'!$I$10:$I$49&lt;=$A34+0.000001)*('Thông tin lớp học'!$J$10:$J$49&gt;$A34+0.000001)*(ROW('Thông tin lớp học'!$H$10:$H$49)-9))))))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16">
        <v>0.854166666666667</v>
      </c>
      <c r="B35" s="123" t="str">
        <f t="array" ref="B35">IF(SUMPRODUCT(('Hoạt động'!$A$5:$A$104=B$5)*('Hoạt động'!$B$5:$B$104&lt;=$A35+0.000001)*('Hoạt động'!$C$5:$C$104&gt;$A35+0.000001))+SUMPRODUCT(('Thông tin lớp học'!$H$10:$H$49=B$4)*('Thông tin lớp học'!$I$10:$I$49&lt;=$A35+0.000001)*('Thông tin lớp học'!$J$10:$J$49&gt;$A35+0.000001))=0,"",IF(SUMPRODUCT(('Hoạt động'!$A$5:$A$104=B$5)*('Hoạt động'!$B$5:$B$104&lt;=$A35+0.000001)*('Hoạt động'!$C$5:$C$104&gt;$A35+0.000001))+SUMPRODUCT(('Thông tin lớp học'!$H$10:$H$49=B$4)*('Thông tin lớp học'!$I$10:$I$49&lt;=$A35+0.000001)*('Thông tin lớp học'!$J$10:$J$49&gt;$A35+0.000001))&gt;1,"⚠ Trùng lịch",IF(SUMPRODUCT(('Hoạt động'!$A$5:$A$104=B$5)*('Hoạt động'!$B$5:$B$104&lt;=$A35+0.000001)*('Hoạt động'!$C$5:$C$104&gt;$A35+0.000001))=1,INDEX('Hoạt động'!$D$5:$D$104,SUMPRODUCT(('Hoạt động'!$A$5:$A$104=B$5)*('Hoạt động'!$B$5:$B$104&lt;=$A35+0.000001)*('Hoạt động'!$C$5:$C$104&gt;$A35+0.000001)*(ROW('Hoạt động'!$A$5:$A$104)-4))),INDEX('Thông tin lớp học'!$G$10:$G$49,SUMPRODUCT(('Thông tin lớp học'!$H$10:$H$49=B$4)*('Thông tin lớp học'!$I$10:$I$49&lt;=$A35+0.000001)*('Thông tin lớp học'!$J$10:$J$49&gt;$A35+0.000001)*(ROW('Thông tin lớp học'!$H$10:$H$49)-9))))))</f>
        <v/>
      </c>
      <c r="C35" s="123" t="str">
        <f t="array" ref="C35">IF(SUMPRODUCT(('Hoạt động'!$A$5:$A$104=C$5)*('Hoạt động'!$B$5:$B$104&lt;=$A35+0.000001)*('Hoạt động'!$C$5:$C$104&gt;$A35+0.000001))+SUMPRODUCT(('Thông tin lớp học'!$H$10:$H$49=C$4)*('Thông tin lớp học'!$I$10:$I$49&lt;=$A35+0.000001)*('Thông tin lớp học'!$J$10:$J$49&gt;$A35+0.000001))=0,"",IF(SUMPRODUCT(('Hoạt động'!$A$5:$A$104=C$5)*('Hoạt động'!$B$5:$B$104&lt;=$A35+0.000001)*('Hoạt động'!$C$5:$C$104&gt;$A35+0.000001))+SUMPRODUCT(('Thông tin lớp học'!$H$10:$H$49=C$4)*('Thông tin lớp học'!$I$10:$I$49&lt;=$A35+0.000001)*('Thông tin lớp học'!$J$10:$J$49&gt;$A35+0.000001))&gt;1,"⚠ Trùng lịch",IF(SUMPRODUCT(('Hoạt động'!$A$5:$A$104=C$5)*('Hoạt động'!$B$5:$B$104&lt;=$A35+0.000001)*('Hoạt động'!$C$5:$C$104&gt;$A35+0.000001))=1,INDEX('Hoạt động'!$D$5:$D$104,SUMPRODUCT(('Hoạt động'!$A$5:$A$104=C$5)*('Hoạt động'!$B$5:$B$104&lt;=$A35+0.000001)*('Hoạt động'!$C$5:$C$104&gt;$A35+0.000001)*(ROW('Hoạt động'!$A$5:$A$104)-4))),INDEX('Thông tin lớp học'!$G$10:$G$49,SUMPRODUCT(('Thông tin lớp học'!$H$10:$H$49=C$4)*('Thông tin lớp học'!$I$10:$I$49&lt;=$A35+0.000001)*('Thông tin lớp học'!$J$10:$J$49&gt;$A35+0.000001)*(ROW('Thông tin lớp học'!$H$10:$H$49)-9))))))</f>
        <v/>
      </c>
      <c r="D35" s="123" t="str">
        <f t="array" ref="D35">IF(SUMPRODUCT(('Hoạt động'!$A$5:$A$104=D$5)*('Hoạt động'!$B$5:$B$104&lt;=$A35+0.000001)*('Hoạt động'!$C$5:$C$104&gt;$A35+0.000001))+SUMPRODUCT(('Thông tin lớp học'!$H$10:$H$49=D$4)*('Thông tin lớp học'!$I$10:$I$49&lt;=$A35+0.000001)*('Thông tin lớp học'!$J$10:$J$49&gt;$A35+0.000001))=0,"",IF(SUMPRODUCT(('Hoạt động'!$A$5:$A$104=D$5)*('Hoạt động'!$B$5:$B$104&lt;=$A35+0.000001)*('Hoạt động'!$C$5:$C$104&gt;$A35+0.000001))+SUMPRODUCT(('Thông tin lớp học'!$H$10:$H$49=D$4)*('Thông tin lớp học'!$I$10:$I$49&lt;=$A35+0.000001)*('Thông tin lớp học'!$J$10:$J$49&gt;$A35+0.000001))&gt;1,"⚠ Trùng lịch",IF(SUMPRODUCT(('Hoạt động'!$A$5:$A$104=D$5)*('Hoạt động'!$B$5:$B$104&lt;=$A35+0.000001)*('Hoạt động'!$C$5:$C$104&gt;$A35+0.000001))=1,INDEX('Hoạt động'!$D$5:$D$104,SUMPRODUCT(('Hoạt động'!$A$5:$A$104=D$5)*('Hoạt động'!$B$5:$B$104&lt;=$A35+0.000001)*('Hoạt động'!$C$5:$C$104&gt;$A35+0.000001)*(ROW('Hoạt động'!$A$5:$A$104)-4))),INDEX('Thông tin lớp học'!$G$10:$G$49,SUMPRODUCT(('Thông tin lớp học'!$H$10:$H$49=D$4)*('Thông tin lớp học'!$I$10:$I$49&lt;=$A35+0.000001)*('Thông tin lớp học'!$J$10:$J$49&gt;$A35+0.000001)*(ROW('Thông tin lớp học'!$H$10:$H$49)-9))))))</f>
        <v/>
      </c>
      <c r="E35" s="123" t="str">
        <f t="array" ref="E35">IF(SUMPRODUCT(('Hoạt động'!$A$5:$A$104=E$5)*('Hoạt động'!$B$5:$B$104&lt;=$A35+0.000001)*('Hoạt động'!$C$5:$C$104&gt;$A35+0.000001))+SUMPRODUCT(('Thông tin lớp học'!$H$10:$H$49=E$4)*('Thông tin lớp học'!$I$10:$I$49&lt;=$A35+0.000001)*('Thông tin lớp học'!$J$10:$J$49&gt;$A35+0.000001))=0,"",IF(SUMPRODUCT(('Hoạt động'!$A$5:$A$104=E$5)*('Hoạt động'!$B$5:$B$104&lt;=$A35+0.000001)*('Hoạt động'!$C$5:$C$104&gt;$A35+0.000001))+SUMPRODUCT(('Thông tin lớp học'!$H$10:$H$49=E$4)*('Thông tin lớp học'!$I$10:$I$49&lt;=$A35+0.000001)*('Thông tin lớp học'!$J$10:$J$49&gt;$A35+0.000001))&gt;1,"⚠ Trùng lịch",IF(SUMPRODUCT(('Hoạt động'!$A$5:$A$104=E$5)*('Hoạt động'!$B$5:$B$104&lt;=$A35+0.000001)*('Hoạt động'!$C$5:$C$104&gt;$A35+0.000001))=1,INDEX('Hoạt động'!$D$5:$D$104,SUMPRODUCT(('Hoạt động'!$A$5:$A$104=E$5)*('Hoạt động'!$B$5:$B$104&lt;=$A35+0.000001)*('Hoạt động'!$C$5:$C$104&gt;$A35+0.000001)*(ROW('Hoạt động'!$A$5:$A$104)-4))),INDEX('Thông tin lớp học'!$G$10:$G$49,SUMPRODUCT(('Thông tin lớp học'!$H$10:$H$49=E$4)*('Thông tin lớp học'!$I$10:$I$49&lt;=$A35+0.000001)*('Thông tin lớp học'!$J$10:$J$49&gt;$A35+0.000001)*(ROW('Thông tin lớp học'!$H$10:$H$49)-9))))))</f>
        <v/>
      </c>
      <c r="F35" s="123" t="str">
        <f t="array" ref="F35">IF(SUMPRODUCT(('Hoạt động'!$A$5:$A$104=F$5)*('Hoạt động'!$B$5:$B$104&lt;=$A35+0.000001)*('Hoạt động'!$C$5:$C$104&gt;$A35+0.000001))+SUMPRODUCT(('Thông tin lớp học'!$H$10:$H$49=F$4)*('Thông tin lớp học'!$I$10:$I$49&lt;=$A35+0.000001)*('Thông tin lớp học'!$J$10:$J$49&gt;$A35+0.000001))=0,"",IF(SUMPRODUCT(('Hoạt động'!$A$5:$A$104=F$5)*('Hoạt động'!$B$5:$B$104&lt;=$A35+0.000001)*('Hoạt động'!$C$5:$C$104&gt;$A35+0.000001))+SUMPRODUCT(('Thông tin lớp học'!$H$10:$H$49=F$4)*('Thông tin lớp học'!$I$10:$I$49&lt;=$A35+0.000001)*('Thông tin lớp học'!$J$10:$J$49&gt;$A35+0.000001))&gt;1,"⚠ Trùng lịch",IF(SUMPRODUCT(('Hoạt động'!$A$5:$A$104=F$5)*('Hoạt động'!$B$5:$B$104&lt;=$A35+0.000001)*('Hoạt động'!$C$5:$C$104&gt;$A35+0.000001))=1,INDEX('Hoạt động'!$D$5:$D$104,SUMPRODUCT(('Hoạt động'!$A$5:$A$104=F$5)*('Hoạt động'!$B$5:$B$104&lt;=$A35+0.000001)*('Hoạt động'!$C$5:$C$104&gt;$A35+0.000001)*(ROW('Hoạt động'!$A$5:$A$104)-4))),INDEX('Thông tin lớp học'!$G$10:$G$49,SUMPRODUCT(('Thông tin lớp học'!$H$10:$H$49=F$4)*('Thông tin lớp học'!$I$10:$I$49&lt;=$A35+0.000001)*('Thông tin lớp học'!$J$10:$J$49&gt;$A35+0.000001)*(ROW('Thông tin lớp học'!$H$10:$H$49)-9))))))</f>
        <v/>
      </c>
      <c r="G35" s="123" t="str">
        <f t="array" ref="G35">IF(SUMPRODUCT(('Hoạt động'!$A$5:$A$104=G$5)*('Hoạt động'!$B$5:$B$104&lt;=$A35+0.000001)*('Hoạt động'!$C$5:$C$104&gt;$A35+0.000001))+SUMPRODUCT(('Thông tin lớp học'!$H$10:$H$49=G$4)*('Thông tin lớp học'!$I$10:$I$49&lt;=$A35+0.000001)*('Thông tin lớp học'!$J$10:$J$49&gt;$A35+0.000001))=0,"",IF(SUMPRODUCT(('Hoạt động'!$A$5:$A$104=G$5)*('Hoạt động'!$B$5:$B$104&lt;=$A35+0.000001)*('Hoạt động'!$C$5:$C$104&gt;$A35+0.000001))+SUMPRODUCT(('Thông tin lớp học'!$H$10:$H$49=G$4)*('Thông tin lớp học'!$I$10:$I$49&lt;=$A35+0.000001)*('Thông tin lớp học'!$J$10:$J$49&gt;$A35+0.000001))&gt;1,"⚠ Trùng lịch",IF(SUMPRODUCT(('Hoạt động'!$A$5:$A$104=G$5)*('Hoạt động'!$B$5:$B$104&lt;=$A35+0.000001)*('Hoạt động'!$C$5:$C$104&gt;$A35+0.000001))=1,INDEX('Hoạt động'!$D$5:$D$104,SUMPRODUCT(('Hoạt động'!$A$5:$A$104=G$5)*('Hoạt động'!$B$5:$B$104&lt;=$A35+0.000001)*('Hoạt động'!$C$5:$C$104&gt;$A35+0.000001)*(ROW('Hoạt động'!$A$5:$A$104)-4))),INDEX('Thông tin lớp học'!$G$10:$G$49,SUMPRODUCT(('Thông tin lớp học'!$H$10:$H$49=G$4)*('Thông tin lớp học'!$I$10:$I$49&lt;=$A35+0.000001)*('Thông tin lớp học'!$J$10:$J$49&gt;$A35+0.000001)*(ROW('Thông tin lớp học'!$H$10:$H$49)-9))))))</f>
        <v/>
      </c>
      <c r="H35" s="123" t="str">
        <f t="array" ref="H35">IF(SUMPRODUCT(('Hoạt động'!$A$5:$A$104=H$5)*('Hoạt động'!$B$5:$B$104&lt;=$A35+0.000001)*('Hoạt động'!$C$5:$C$104&gt;$A35+0.000001))+SUMPRODUCT(('Thông tin lớp học'!$H$10:$H$49=H$4)*('Thông tin lớp học'!$I$10:$I$49&lt;=$A35+0.000001)*('Thông tin lớp học'!$J$10:$J$49&gt;$A35+0.000001))=0,"",IF(SUMPRODUCT(('Hoạt động'!$A$5:$A$104=H$5)*('Hoạt động'!$B$5:$B$104&lt;=$A35+0.000001)*('Hoạt động'!$C$5:$C$104&gt;$A35+0.000001))+SUMPRODUCT(('Thông tin lớp học'!$H$10:$H$49=H$4)*('Thông tin lớp học'!$I$10:$I$49&lt;=$A35+0.000001)*('Thông tin lớp học'!$J$10:$J$49&gt;$A35+0.000001))&gt;1,"⚠ Trùng lịch",IF(SUMPRODUCT(('Hoạt động'!$A$5:$A$104=H$5)*('Hoạt động'!$B$5:$B$104&lt;=$A35+0.000001)*('Hoạt động'!$C$5:$C$104&gt;$A35+0.000001))=1,INDEX('Hoạt động'!$D$5:$D$104,SUMPRODUCT(('Hoạt động'!$A$5:$A$104=H$5)*('Hoạt động'!$B$5:$B$104&lt;=$A35+0.000001)*('Hoạt động'!$C$5:$C$104&gt;$A35+0.000001)*(ROW('Hoạt động'!$A$5:$A$104)-4))),INDEX('Thông tin lớp học'!$G$10:$G$49,SUMPRODUCT(('Thông tin lớp học'!$H$10:$H$49=H$4)*('Thông tin lớp học'!$I$10:$I$49&lt;=$A35+0.000001)*('Thông tin lớp học'!$J$10:$J$49&gt;$A35+0.000001)*(ROW('Thông tin lớp học'!$H$10:$H$49)-9))))))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16">
        <v>0.875</v>
      </c>
      <c r="B36" s="123" t="str">
        <f t="array" ref="B36">IF(SUMPRODUCT(('Hoạt động'!$A$5:$A$104=B$5)*('Hoạt động'!$B$5:$B$104&lt;=$A36+0.000001)*('Hoạt động'!$C$5:$C$104&gt;$A36+0.000001))+SUMPRODUCT(('Thông tin lớp học'!$H$10:$H$49=B$4)*('Thông tin lớp học'!$I$10:$I$49&lt;=$A36+0.000001)*('Thông tin lớp học'!$J$10:$J$49&gt;$A36+0.000001))=0,"",IF(SUMPRODUCT(('Hoạt động'!$A$5:$A$104=B$5)*('Hoạt động'!$B$5:$B$104&lt;=$A36+0.000001)*('Hoạt động'!$C$5:$C$104&gt;$A36+0.000001))+SUMPRODUCT(('Thông tin lớp học'!$H$10:$H$49=B$4)*('Thông tin lớp học'!$I$10:$I$49&lt;=$A36+0.000001)*('Thông tin lớp học'!$J$10:$J$49&gt;$A36+0.000001))&gt;1,"⚠ Trùng lịch",IF(SUMPRODUCT(('Hoạt động'!$A$5:$A$104=B$5)*('Hoạt động'!$B$5:$B$104&lt;=$A36+0.000001)*('Hoạt động'!$C$5:$C$104&gt;$A36+0.000001))=1,INDEX('Hoạt động'!$D$5:$D$104,SUMPRODUCT(('Hoạt động'!$A$5:$A$104=B$5)*('Hoạt động'!$B$5:$B$104&lt;=$A36+0.000001)*('Hoạt động'!$C$5:$C$104&gt;$A36+0.000001)*(ROW('Hoạt động'!$A$5:$A$104)-4))),INDEX('Thông tin lớp học'!$G$10:$G$49,SUMPRODUCT(('Thông tin lớp học'!$H$10:$H$49=B$4)*('Thông tin lớp học'!$I$10:$I$49&lt;=$A36+0.000001)*('Thông tin lớp học'!$J$10:$J$49&gt;$A36+0.000001)*(ROW('Thông tin lớp học'!$H$10:$H$49)-9))))))</f>
        <v/>
      </c>
      <c r="C36" s="123" t="str">
        <f t="array" ref="C36">IF(SUMPRODUCT(('Hoạt động'!$A$5:$A$104=C$5)*('Hoạt động'!$B$5:$B$104&lt;=$A36+0.000001)*('Hoạt động'!$C$5:$C$104&gt;$A36+0.000001))+SUMPRODUCT(('Thông tin lớp học'!$H$10:$H$49=C$4)*('Thông tin lớp học'!$I$10:$I$49&lt;=$A36+0.000001)*('Thông tin lớp học'!$J$10:$J$49&gt;$A36+0.000001))=0,"",IF(SUMPRODUCT(('Hoạt động'!$A$5:$A$104=C$5)*('Hoạt động'!$B$5:$B$104&lt;=$A36+0.000001)*('Hoạt động'!$C$5:$C$104&gt;$A36+0.000001))+SUMPRODUCT(('Thông tin lớp học'!$H$10:$H$49=C$4)*('Thông tin lớp học'!$I$10:$I$49&lt;=$A36+0.000001)*('Thông tin lớp học'!$J$10:$J$49&gt;$A36+0.000001))&gt;1,"⚠ Trùng lịch",IF(SUMPRODUCT(('Hoạt động'!$A$5:$A$104=C$5)*('Hoạt động'!$B$5:$B$104&lt;=$A36+0.000001)*('Hoạt động'!$C$5:$C$104&gt;$A36+0.000001))=1,INDEX('Hoạt động'!$D$5:$D$104,SUMPRODUCT(('Hoạt động'!$A$5:$A$104=C$5)*('Hoạt động'!$B$5:$B$104&lt;=$A36+0.000001)*('Hoạt động'!$C$5:$C$104&gt;$A36+0.000001)*(ROW('Hoạt động'!$A$5:$A$104)-4))),INDEX('Thông tin lớp học'!$G$10:$G$49,SUMPRODUCT(('Thông tin lớp học'!$H$10:$H$49=C$4)*('Thông tin lớp học'!$I$10:$I$49&lt;=$A36+0.000001)*('Thông tin lớp học'!$J$10:$J$49&gt;$A36+0.000001)*(ROW('Thông tin lớp học'!$H$10:$H$49)-9))))))</f>
        <v/>
      </c>
      <c r="D36" s="123" t="str">
        <f t="array" ref="D36">IF(SUMPRODUCT(('Hoạt động'!$A$5:$A$104=D$5)*('Hoạt động'!$B$5:$B$104&lt;=$A36+0.000001)*('Hoạt động'!$C$5:$C$104&gt;$A36+0.000001))+SUMPRODUCT(('Thông tin lớp học'!$H$10:$H$49=D$4)*('Thông tin lớp học'!$I$10:$I$49&lt;=$A36+0.000001)*('Thông tin lớp học'!$J$10:$J$49&gt;$A36+0.000001))=0,"",IF(SUMPRODUCT(('Hoạt động'!$A$5:$A$104=D$5)*('Hoạt động'!$B$5:$B$104&lt;=$A36+0.000001)*('Hoạt động'!$C$5:$C$104&gt;$A36+0.000001))+SUMPRODUCT(('Thông tin lớp học'!$H$10:$H$49=D$4)*('Thông tin lớp học'!$I$10:$I$49&lt;=$A36+0.000001)*('Thông tin lớp học'!$J$10:$J$49&gt;$A36+0.000001))&gt;1,"⚠ Trùng lịch",IF(SUMPRODUCT(('Hoạt động'!$A$5:$A$104=D$5)*('Hoạt động'!$B$5:$B$104&lt;=$A36+0.000001)*('Hoạt động'!$C$5:$C$104&gt;$A36+0.000001))=1,INDEX('Hoạt động'!$D$5:$D$104,SUMPRODUCT(('Hoạt động'!$A$5:$A$104=D$5)*('Hoạt động'!$B$5:$B$104&lt;=$A36+0.000001)*('Hoạt động'!$C$5:$C$104&gt;$A36+0.000001)*(ROW('Hoạt động'!$A$5:$A$104)-4))),INDEX('Thông tin lớp học'!$G$10:$G$49,SUMPRODUCT(('Thông tin lớp học'!$H$10:$H$49=D$4)*('Thông tin lớp học'!$I$10:$I$49&lt;=$A36+0.000001)*('Thông tin lớp học'!$J$10:$J$49&gt;$A36+0.000001)*(ROW('Thông tin lớp học'!$H$10:$H$49)-9))))))</f>
        <v/>
      </c>
      <c r="E36" s="123" t="str">
        <f t="array" ref="E36">IF(SUMPRODUCT(('Hoạt động'!$A$5:$A$104=E$5)*('Hoạt động'!$B$5:$B$104&lt;=$A36+0.000001)*('Hoạt động'!$C$5:$C$104&gt;$A36+0.000001))+SUMPRODUCT(('Thông tin lớp học'!$H$10:$H$49=E$4)*('Thông tin lớp học'!$I$10:$I$49&lt;=$A36+0.000001)*('Thông tin lớp học'!$J$10:$J$49&gt;$A36+0.000001))=0,"",IF(SUMPRODUCT(('Hoạt động'!$A$5:$A$104=E$5)*('Hoạt động'!$B$5:$B$104&lt;=$A36+0.000001)*('Hoạt động'!$C$5:$C$104&gt;$A36+0.000001))+SUMPRODUCT(('Thông tin lớp học'!$H$10:$H$49=E$4)*('Thông tin lớp học'!$I$10:$I$49&lt;=$A36+0.000001)*('Thông tin lớp học'!$J$10:$J$49&gt;$A36+0.000001))&gt;1,"⚠ Trùng lịch",IF(SUMPRODUCT(('Hoạt động'!$A$5:$A$104=E$5)*('Hoạt động'!$B$5:$B$104&lt;=$A36+0.000001)*('Hoạt động'!$C$5:$C$104&gt;$A36+0.000001))=1,INDEX('Hoạt động'!$D$5:$D$104,SUMPRODUCT(('Hoạt động'!$A$5:$A$104=E$5)*('Hoạt động'!$B$5:$B$104&lt;=$A36+0.000001)*('Hoạt động'!$C$5:$C$104&gt;$A36+0.000001)*(ROW('Hoạt động'!$A$5:$A$104)-4))),INDEX('Thông tin lớp học'!$G$10:$G$49,SUMPRODUCT(('Thông tin lớp học'!$H$10:$H$49=E$4)*('Thông tin lớp học'!$I$10:$I$49&lt;=$A36+0.000001)*('Thông tin lớp học'!$J$10:$J$49&gt;$A36+0.000001)*(ROW('Thông tin lớp học'!$H$10:$H$49)-9))))))</f>
        <v/>
      </c>
      <c r="F36" s="123" t="str">
        <f t="array" ref="F36">IF(SUMPRODUCT(('Hoạt động'!$A$5:$A$104=F$5)*('Hoạt động'!$B$5:$B$104&lt;=$A36+0.000001)*('Hoạt động'!$C$5:$C$104&gt;$A36+0.000001))+SUMPRODUCT(('Thông tin lớp học'!$H$10:$H$49=F$4)*('Thông tin lớp học'!$I$10:$I$49&lt;=$A36+0.000001)*('Thông tin lớp học'!$J$10:$J$49&gt;$A36+0.000001))=0,"",IF(SUMPRODUCT(('Hoạt động'!$A$5:$A$104=F$5)*('Hoạt động'!$B$5:$B$104&lt;=$A36+0.000001)*('Hoạt động'!$C$5:$C$104&gt;$A36+0.000001))+SUMPRODUCT(('Thông tin lớp học'!$H$10:$H$49=F$4)*('Thông tin lớp học'!$I$10:$I$49&lt;=$A36+0.000001)*('Thông tin lớp học'!$J$10:$J$49&gt;$A36+0.000001))&gt;1,"⚠ Trùng lịch",IF(SUMPRODUCT(('Hoạt động'!$A$5:$A$104=F$5)*('Hoạt động'!$B$5:$B$104&lt;=$A36+0.000001)*('Hoạt động'!$C$5:$C$104&gt;$A36+0.000001))=1,INDEX('Hoạt động'!$D$5:$D$104,SUMPRODUCT(('Hoạt động'!$A$5:$A$104=F$5)*('Hoạt động'!$B$5:$B$104&lt;=$A36+0.000001)*('Hoạt động'!$C$5:$C$104&gt;$A36+0.000001)*(ROW('Hoạt động'!$A$5:$A$104)-4))),INDEX('Thông tin lớp học'!$G$10:$G$49,SUMPRODUCT(('Thông tin lớp học'!$H$10:$H$49=F$4)*('Thông tin lớp học'!$I$10:$I$49&lt;=$A36+0.000001)*('Thông tin lớp học'!$J$10:$J$49&gt;$A36+0.000001)*(ROW('Thông tin lớp học'!$H$10:$H$49)-9))))))</f>
        <v/>
      </c>
      <c r="G36" s="123" t="str">
        <f t="array" ref="G36">IF(SUMPRODUCT(('Hoạt động'!$A$5:$A$104=G$5)*('Hoạt động'!$B$5:$B$104&lt;=$A36+0.000001)*('Hoạt động'!$C$5:$C$104&gt;$A36+0.000001))+SUMPRODUCT(('Thông tin lớp học'!$H$10:$H$49=G$4)*('Thông tin lớp học'!$I$10:$I$49&lt;=$A36+0.000001)*('Thông tin lớp học'!$J$10:$J$49&gt;$A36+0.000001))=0,"",IF(SUMPRODUCT(('Hoạt động'!$A$5:$A$104=G$5)*('Hoạt động'!$B$5:$B$104&lt;=$A36+0.000001)*('Hoạt động'!$C$5:$C$104&gt;$A36+0.000001))+SUMPRODUCT(('Thông tin lớp học'!$H$10:$H$49=G$4)*('Thông tin lớp học'!$I$10:$I$49&lt;=$A36+0.000001)*('Thông tin lớp học'!$J$10:$J$49&gt;$A36+0.000001))&gt;1,"⚠ Trùng lịch",IF(SUMPRODUCT(('Hoạt động'!$A$5:$A$104=G$5)*('Hoạt động'!$B$5:$B$104&lt;=$A36+0.000001)*('Hoạt động'!$C$5:$C$104&gt;$A36+0.000001))=1,INDEX('Hoạt động'!$D$5:$D$104,SUMPRODUCT(('Hoạt động'!$A$5:$A$104=G$5)*('Hoạt động'!$B$5:$B$104&lt;=$A36+0.000001)*('Hoạt động'!$C$5:$C$104&gt;$A36+0.000001)*(ROW('Hoạt động'!$A$5:$A$104)-4))),INDEX('Thông tin lớp học'!$G$10:$G$49,SUMPRODUCT(('Thông tin lớp học'!$H$10:$H$49=G$4)*('Thông tin lớp học'!$I$10:$I$49&lt;=$A36+0.000001)*('Thông tin lớp học'!$J$10:$J$49&gt;$A36+0.000001)*(ROW('Thông tin lớp học'!$H$10:$H$49)-9))))))</f>
        <v/>
      </c>
      <c r="H36" s="123" t="str">
        <f t="array" ref="H36">IF(SUMPRODUCT(('Hoạt động'!$A$5:$A$104=H$5)*('Hoạt động'!$B$5:$B$104&lt;=$A36+0.000001)*('Hoạt động'!$C$5:$C$104&gt;$A36+0.000001))+SUMPRODUCT(('Thông tin lớp học'!$H$10:$H$49=H$4)*('Thông tin lớp học'!$I$10:$I$49&lt;=$A36+0.000001)*('Thông tin lớp học'!$J$10:$J$49&gt;$A36+0.000001))=0,"",IF(SUMPRODUCT(('Hoạt động'!$A$5:$A$104=H$5)*('Hoạt động'!$B$5:$B$104&lt;=$A36+0.000001)*('Hoạt động'!$C$5:$C$104&gt;$A36+0.000001))+SUMPRODUCT(('Thông tin lớp học'!$H$10:$H$49=H$4)*('Thông tin lớp học'!$I$10:$I$49&lt;=$A36+0.000001)*('Thông tin lớp học'!$J$10:$J$49&gt;$A36+0.000001))&gt;1,"⚠ Trùng lịch",IF(SUMPRODUCT(('Hoạt động'!$A$5:$A$104=H$5)*('Hoạt động'!$B$5:$B$104&lt;=$A36+0.000001)*('Hoạt động'!$C$5:$C$104&gt;$A36+0.000001))=1,INDEX('Hoạt động'!$D$5:$D$104,SUMPRODUCT(('Hoạt động'!$A$5:$A$104=H$5)*('Hoạt động'!$B$5:$B$104&lt;=$A36+0.000001)*('Hoạt động'!$C$5:$C$104&gt;$A36+0.000001)*(ROW('Hoạt động'!$A$5:$A$104)-4))),INDEX('Thông tin lớp học'!$G$10:$G$49,SUMPRODUCT(('Thông tin lớp học'!$H$10:$H$49=H$4)*('Thông tin lớp học'!$I$10:$I$49&lt;=$A36+0.000001)*('Thông tin lớp học'!$J$10:$J$49&gt;$A36+0.000001)*(ROW('Thông tin lớp học'!$H$10:$H$49)-9))))))</f>
        <v/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16">
        <v>0.895833333333333</v>
      </c>
      <c r="B37" s="123" t="str">
        <f t="array" ref="B37">IF(SUMPRODUCT(('Hoạt động'!$A$5:$A$104=B$5)*('Hoạt động'!$B$5:$B$104&lt;=$A37+0.000001)*('Hoạt động'!$C$5:$C$104&gt;$A37+0.000001))+SUMPRODUCT(('Thông tin lớp học'!$H$10:$H$49=B$4)*('Thông tin lớp học'!$I$10:$I$49&lt;=$A37+0.000001)*('Thông tin lớp học'!$J$10:$J$49&gt;$A37+0.000001))=0,"",IF(SUMPRODUCT(('Hoạt động'!$A$5:$A$104=B$5)*('Hoạt động'!$B$5:$B$104&lt;=$A37+0.000001)*('Hoạt động'!$C$5:$C$104&gt;$A37+0.000001))+SUMPRODUCT(('Thông tin lớp học'!$H$10:$H$49=B$4)*('Thông tin lớp học'!$I$10:$I$49&lt;=$A37+0.000001)*('Thông tin lớp học'!$J$10:$J$49&gt;$A37+0.000001))&gt;1,"⚠ Trùng lịch",IF(SUMPRODUCT(('Hoạt động'!$A$5:$A$104=B$5)*('Hoạt động'!$B$5:$B$104&lt;=$A37+0.000001)*('Hoạt động'!$C$5:$C$104&gt;$A37+0.000001))=1,INDEX('Hoạt động'!$D$5:$D$104,SUMPRODUCT(('Hoạt động'!$A$5:$A$104=B$5)*('Hoạt động'!$B$5:$B$104&lt;=$A37+0.000001)*('Hoạt động'!$C$5:$C$104&gt;$A37+0.000001)*(ROW('Hoạt động'!$A$5:$A$104)-4))),INDEX('Thông tin lớp học'!$G$10:$G$49,SUMPRODUCT(('Thông tin lớp học'!$H$10:$H$49=B$4)*('Thông tin lớp học'!$I$10:$I$49&lt;=$A37+0.000001)*('Thông tin lớp học'!$J$10:$J$49&gt;$A37+0.000001)*(ROW('Thông tin lớp học'!$H$10:$H$49)-9))))))</f>
        <v/>
      </c>
      <c r="C37" s="123" t="str">
        <f t="array" ref="C37">IF(SUMPRODUCT(('Hoạt động'!$A$5:$A$104=C$5)*('Hoạt động'!$B$5:$B$104&lt;=$A37+0.000001)*('Hoạt động'!$C$5:$C$104&gt;$A37+0.000001))+SUMPRODUCT(('Thông tin lớp học'!$H$10:$H$49=C$4)*('Thông tin lớp học'!$I$10:$I$49&lt;=$A37+0.000001)*('Thông tin lớp học'!$J$10:$J$49&gt;$A37+0.000001))=0,"",IF(SUMPRODUCT(('Hoạt động'!$A$5:$A$104=C$5)*('Hoạt động'!$B$5:$B$104&lt;=$A37+0.000001)*('Hoạt động'!$C$5:$C$104&gt;$A37+0.000001))+SUMPRODUCT(('Thông tin lớp học'!$H$10:$H$49=C$4)*('Thông tin lớp học'!$I$10:$I$49&lt;=$A37+0.000001)*('Thông tin lớp học'!$J$10:$J$49&gt;$A37+0.000001))&gt;1,"⚠ Trùng lịch",IF(SUMPRODUCT(('Hoạt động'!$A$5:$A$104=C$5)*('Hoạt động'!$B$5:$B$104&lt;=$A37+0.000001)*('Hoạt động'!$C$5:$C$104&gt;$A37+0.000001))=1,INDEX('Hoạt động'!$D$5:$D$104,SUMPRODUCT(('Hoạt động'!$A$5:$A$104=C$5)*('Hoạt động'!$B$5:$B$104&lt;=$A37+0.000001)*('Hoạt động'!$C$5:$C$104&gt;$A37+0.000001)*(ROW('Hoạt động'!$A$5:$A$104)-4))),INDEX('Thông tin lớp học'!$G$10:$G$49,SUMPRODUCT(('Thông tin lớp học'!$H$10:$H$49=C$4)*('Thông tin lớp học'!$I$10:$I$49&lt;=$A37+0.000001)*('Thông tin lớp học'!$J$10:$J$49&gt;$A37+0.000001)*(ROW('Thông tin lớp học'!$H$10:$H$49)-9))))))</f>
        <v/>
      </c>
      <c r="D37" s="123" t="str">
        <f t="array" ref="D37">IF(SUMPRODUCT(('Hoạt động'!$A$5:$A$104=D$5)*('Hoạt động'!$B$5:$B$104&lt;=$A37+0.000001)*('Hoạt động'!$C$5:$C$104&gt;$A37+0.000001))+SUMPRODUCT(('Thông tin lớp học'!$H$10:$H$49=D$4)*('Thông tin lớp học'!$I$10:$I$49&lt;=$A37+0.000001)*('Thông tin lớp học'!$J$10:$J$49&gt;$A37+0.000001))=0,"",IF(SUMPRODUCT(('Hoạt động'!$A$5:$A$104=D$5)*('Hoạt động'!$B$5:$B$104&lt;=$A37+0.000001)*('Hoạt động'!$C$5:$C$104&gt;$A37+0.000001))+SUMPRODUCT(('Thông tin lớp học'!$H$10:$H$49=D$4)*('Thông tin lớp học'!$I$10:$I$49&lt;=$A37+0.000001)*('Thông tin lớp học'!$J$10:$J$49&gt;$A37+0.000001))&gt;1,"⚠ Trùng lịch",IF(SUMPRODUCT(('Hoạt động'!$A$5:$A$104=D$5)*('Hoạt động'!$B$5:$B$104&lt;=$A37+0.000001)*('Hoạt động'!$C$5:$C$104&gt;$A37+0.000001))=1,INDEX('Hoạt động'!$D$5:$D$104,SUMPRODUCT(('Hoạt động'!$A$5:$A$104=D$5)*('Hoạt động'!$B$5:$B$104&lt;=$A37+0.000001)*('Hoạt động'!$C$5:$C$104&gt;$A37+0.000001)*(ROW('Hoạt động'!$A$5:$A$104)-4))),INDEX('Thông tin lớp học'!$G$10:$G$49,SUMPRODUCT(('Thông tin lớp học'!$H$10:$H$49=D$4)*('Thông tin lớp học'!$I$10:$I$49&lt;=$A37+0.000001)*('Thông tin lớp học'!$J$10:$J$49&gt;$A37+0.000001)*(ROW('Thông tin lớp học'!$H$10:$H$49)-9))))))</f>
        <v/>
      </c>
      <c r="E37" s="123" t="str">
        <f t="array" ref="E37">IF(SUMPRODUCT(('Hoạt động'!$A$5:$A$104=E$5)*('Hoạt động'!$B$5:$B$104&lt;=$A37+0.000001)*('Hoạt động'!$C$5:$C$104&gt;$A37+0.000001))+SUMPRODUCT(('Thông tin lớp học'!$H$10:$H$49=E$4)*('Thông tin lớp học'!$I$10:$I$49&lt;=$A37+0.000001)*('Thông tin lớp học'!$J$10:$J$49&gt;$A37+0.000001))=0,"",IF(SUMPRODUCT(('Hoạt động'!$A$5:$A$104=E$5)*('Hoạt động'!$B$5:$B$104&lt;=$A37+0.000001)*('Hoạt động'!$C$5:$C$104&gt;$A37+0.000001))+SUMPRODUCT(('Thông tin lớp học'!$H$10:$H$49=E$4)*('Thông tin lớp học'!$I$10:$I$49&lt;=$A37+0.000001)*('Thông tin lớp học'!$J$10:$J$49&gt;$A37+0.000001))&gt;1,"⚠ Trùng lịch",IF(SUMPRODUCT(('Hoạt động'!$A$5:$A$104=E$5)*('Hoạt động'!$B$5:$B$104&lt;=$A37+0.000001)*('Hoạt động'!$C$5:$C$104&gt;$A37+0.000001))=1,INDEX('Hoạt động'!$D$5:$D$104,SUMPRODUCT(('Hoạt động'!$A$5:$A$104=E$5)*('Hoạt động'!$B$5:$B$104&lt;=$A37+0.000001)*('Hoạt động'!$C$5:$C$104&gt;$A37+0.000001)*(ROW('Hoạt động'!$A$5:$A$104)-4))),INDEX('Thông tin lớp học'!$G$10:$G$49,SUMPRODUCT(('Thông tin lớp học'!$H$10:$H$49=E$4)*('Thông tin lớp học'!$I$10:$I$49&lt;=$A37+0.000001)*('Thông tin lớp học'!$J$10:$J$49&gt;$A37+0.000001)*(ROW('Thông tin lớp học'!$H$10:$H$49)-9))))))</f>
        <v/>
      </c>
      <c r="F37" s="123" t="str">
        <f t="array" ref="F37">IF(SUMPRODUCT(('Hoạt động'!$A$5:$A$104=F$5)*('Hoạt động'!$B$5:$B$104&lt;=$A37+0.000001)*('Hoạt động'!$C$5:$C$104&gt;$A37+0.000001))+SUMPRODUCT(('Thông tin lớp học'!$H$10:$H$49=F$4)*('Thông tin lớp học'!$I$10:$I$49&lt;=$A37+0.000001)*('Thông tin lớp học'!$J$10:$J$49&gt;$A37+0.000001))=0,"",IF(SUMPRODUCT(('Hoạt động'!$A$5:$A$104=F$5)*('Hoạt động'!$B$5:$B$104&lt;=$A37+0.000001)*('Hoạt động'!$C$5:$C$104&gt;$A37+0.000001))+SUMPRODUCT(('Thông tin lớp học'!$H$10:$H$49=F$4)*('Thông tin lớp học'!$I$10:$I$49&lt;=$A37+0.000001)*('Thông tin lớp học'!$J$10:$J$49&gt;$A37+0.000001))&gt;1,"⚠ Trùng lịch",IF(SUMPRODUCT(('Hoạt động'!$A$5:$A$104=F$5)*('Hoạt động'!$B$5:$B$104&lt;=$A37+0.000001)*('Hoạt động'!$C$5:$C$104&gt;$A37+0.000001))=1,INDEX('Hoạt động'!$D$5:$D$104,SUMPRODUCT(('Hoạt động'!$A$5:$A$104=F$5)*('Hoạt động'!$B$5:$B$104&lt;=$A37+0.000001)*('Hoạt động'!$C$5:$C$104&gt;$A37+0.000001)*(ROW('Hoạt động'!$A$5:$A$104)-4))),INDEX('Thông tin lớp học'!$G$10:$G$49,SUMPRODUCT(('Thông tin lớp học'!$H$10:$H$49=F$4)*('Thông tin lớp học'!$I$10:$I$49&lt;=$A37+0.000001)*('Thông tin lớp học'!$J$10:$J$49&gt;$A37+0.000001)*(ROW('Thông tin lớp học'!$H$10:$H$49)-9))))))</f>
        <v/>
      </c>
      <c r="G37" s="123" t="str">
        <f t="array" ref="G37">IF(SUMPRODUCT(('Hoạt động'!$A$5:$A$104=G$5)*('Hoạt động'!$B$5:$B$104&lt;=$A37+0.000001)*('Hoạt động'!$C$5:$C$104&gt;$A37+0.000001))+SUMPRODUCT(('Thông tin lớp học'!$H$10:$H$49=G$4)*('Thông tin lớp học'!$I$10:$I$49&lt;=$A37+0.000001)*('Thông tin lớp học'!$J$10:$J$49&gt;$A37+0.000001))=0,"",IF(SUMPRODUCT(('Hoạt động'!$A$5:$A$104=G$5)*('Hoạt động'!$B$5:$B$104&lt;=$A37+0.000001)*('Hoạt động'!$C$5:$C$104&gt;$A37+0.000001))+SUMPRODUCT(('Thông tin lớp học'!$H$10:$H$49=G$4)*('Thông tin lớp học'!$I$10:$I$49&lt;=$A37+0.000001)*('Thông tin lớp học'!$J$10:$J$49&gt;$A37+0.000001))&gt;1,"⚠ Trùng lịch",IF(SUMPRODUCT(('Hoạt động'!$A$5:$A$104=G$5)*('Hoạt động'!$B$5:$B$104&lt;=$A37+0.000001)*('Hoạt động'!$C$5:$C$104&gt;$A37+0.000001))=1,INDEX('Hoạt động'!$D$5:$D$104,SUMPRODUCT(('Hoạt động'!$A$5:$A$104=G$5)*('Hoạt động'!$B$5:$B$104&lt;=$A37+0.000001)*('Hoạt động'!$C$5:$C$104&gt;$A37+0.000001)*(ROW('Hoạt động'!$A$5:$A$104)-4))),INDEX('Thông tin lớp học'!$G$10:$G$49,SUMPRODUCT(('Thông tin lớp học'!$H$10:$H$49=G$4)*('Thông tin lớp học'!$I$10:$I$49&lt;=$A37+0.000001)*('Thông tin lớp học'!$J$10:$J$49&gt;$A37+0.000001)*(ROW('Thông tin lớp học'!$H$10:$H$49)-9))))))</f>
        <v/>
      </c>
      <c r="H37" s="123" t="str">
        <f t="array" ref="H37">IF(SUMPRODUCT(('Hoạt động'!$A$5:$A$104=H$5)*('Hoạt động'!$B$5:$B$104&lt;=$A37+0.000001)*('Hoạt động'!$C$5:$C$104&gt;$A37+0.000001))+SUMPRODUCT(('Thông tin lớp học'!$H$10:$H$49=H$4)*('Thông tin lớp học'!$I$10:$I$49&lt;=$A37+0.000001)*('Thông tin lớp học'!$J$10:$J$49&gt;$A37+0.000001))=0,"",IF(SUMPRODUCT(('Hoạt động'!$A$5:$A$104=H$5)*('Hoạt động'!$B$5:$B$104&lt;=$A37+0.000001)*('Hoạt động'!$C$5:$C$104&gt;$A37+0.000001))+SUMPRODUCT(('Thông tin lớp học'!$H$10:$H$49=H$4)*('Thông tin lớp học'!$I$10:$I$49&lt;=$A37+0.000001)*('Thông tin lớp học'!$J$10:$J$49&gt;$A37+0.000001))&gt;1,"⚠ Trùng lịch",IF(SUMPRODUCT(('Hoạt động'!$A$5:$A$104=H$5)*('Hoạt động'!$B$5:$B$104&lt;=$A37+0.000001)*('Hoạt động'!$C$5:$C$104&gt;$A37+0.000001))=1,INDEX('Hoạt động'!$D$5:$D$104,SUMPRODUCT(('Hoạt động'!$A$5:$A$104=H$5)*('Hoạt động'!$B$5:$B$104&lt;=$A37+0.000001)*('Hoạt động'!$C$5:$C$104&gt;$A37+0.000001)*(ROW('Hoạt động'!$A$5:$A$104)-4))),INDEX('Thông tin lớp học'!$G$10:$G$49,SUMPRODUCT(('Thông tin lớp học'!$H$10:$H$49=H$4)*('Thông tin lớp học'!$I$10:$I$49&lt;=$A37+0.000001)*('Thông tin lớp học'!$J$10:$J$49&gt;$A37+0.000001)*(ROW('Thông tin lớp học'!$H$10:$H$49)-9))))))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C3"/>
    <mergeCell ref="G3:H3"/>
    <mergeCell ref="A4:A5"/>
  </mergeCells>
  <conditionalFormatting sqref="B6:H37">
    <cfRule type="expression" dxfId="23" priority="1">
      <formula>ISNUMBER(SEARCH("Trùng",B6))</formula>
    </cfRule>
  </conditionalFormatting>
  <conditionalFormatting sqref="B6:H37">
    <cfRule type="expression" dxfId="8" priority="2">
      <formula>B6&lt;&gt;""</formula>
    </cfRule>
  </conditionalFormatting>
  <conditionalFormatting sqref="B4:H5">
    <cfRule type="expression" dxfId="24" priority="3" stopIfTrue="1">
      <formula>B$5=TODAY()</formula>
    </cfRule>
  </conditionalFormatting>
  <hyperlinks>
    <hyperlink display="⌂ Về Dashboard" location="Dashboard!A1" ref="H1"/>
    <hyperlink display="⌂ Về Dashboard" location="Dashboard!A1" ref="J1"/>
  </hyperlink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43"/>
    <col customWidth="1" min="2" max="2" width="22.43"/>
    <col customWidth="1" min="3" max="4" width="11.86"/>
    <col customWidth="1" min="5" max="5" width="10.71"/>
    <col customWidth="1" min="6" max="6" width="20.43"/>
    <col customWidth="1" min="7" max="7" width="3.0"/>
    <col customWidth="1" min="8" max="8" width="19.14"/>
    <col customWidth="1" min="9" max="9" width="9.29"/>
    <col customWidth="1" min="10" max="10" width="6.86"/>
    <col customWidth="1" min="11" max="11" width="7.29"/>
    <col customWidth="1" min="12" max="12" width="15.86"/>
    <col customWidth="1" min="13" max="26" width="8.71"/>
  </cols>
  <sheetData>
    <row r="1" ht="30.0" customHeight="1">
      <c r="A1" s="166" t="s">
        <v>192</v>
      </c>
      <c r="B1" s="167"/>
      <c r="C1" s="167"/>
      <c r="D1" s="167"/>
      <c r="E1" s="167"/>
      <c r="F1" s="167"/>
      <c r="G1" s="168"/>
      <c r="H1" s="169" t="s">
        <v>2</v>
      </c>
      <c r="I1" s="170"/>
      <c r="J1" s="170"/>
      <c r="K1" s="170"/>
      <c r="L1" s="171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72" t="s">
        <v>193</v>
      </c>
      <c r="B2" s="172" t="s">
        <v>6</v>
      </c>
      <c r="C2" s="173" t="s">
        <v>9</v>
      </c>
      <c r="D2" s="121"/>
      <c r="E2" s="173" t="s">
        <v>194</v>
      </c>
      <c r="F2" s="121"/>
      <c r="G2" s="7"/>
      <c r="H2" s="174" t="s">
        <v>195</v>
      </c>
      <c r="I2" s="175"/>
      <c r="J2" s="175"/>
      <c r="K2" s="175"/>
      <c r="L2" s="10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176">
        <f>COUNTA(B5:B100)</f>
        <v>12</v>
      </c>
      <c r="B3" s="176">
        <f>COUNTIF(E5:E100, TRUE)</f>
        <v>7</v>
      </c>
      <c r="C3" s="23">
        <f>IF(A3=0, 0, B3/A3)</f>
        <v>0.5833333333</v>
      </c>
      <c r="D3" s="16"/>
      <c r="E3" s="177" t="str">
        <f>IFERROR(__xludf.DUMMYFUNCTION("IF(A3=0, """", SPARKLINE(B3/A3, {""charttype"",""bar""; ""max"",1; ""color1"",""#1a73e8""}))"),"")</f>
        <v/>
      </c>
      <c r="F3" s="16"/>
      <c r="G3" s="7"/>
      <c r="H3" s="178"/>
      <c r="I3" s="120"/>
      <c r="J3" s="120"/>
      <c r="K3" s="120"/>
      <c r="L3" s="12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28" t="s">
        <v>32</v>
      </c>
      <c r="B4" s="28" t="s">
        <v>196</v>
      </c>
      <c r="C4" s="28" t="s">
        <v>197</v>
      </c>
      <c r="D4" s="28" t="s">
        <v>31</v>
      </c>
      <c r="E4" s="28" t="s">
        <v>19</v>
      </c>
      <c r="F4" s="28" t="s">
        <v>27</v>
      </c>
      <c r="G4" s="7"/>
      <c r="H4" s="28" t="s">
        <v>32</v>
      </c>
      <c r="I4" s="28" t="s">
        <v>198</v>
      </c>
      <c r="J4" s="28" t="s">
        <v>199</v>
      </c>
      <c r="K4" s="28" t="s">
        <v>200</v>
      </c>
      <c r="L4" s="179" t="s">
        <v>201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4" t="s">
        <v>42</v>
      </c>
      <c r="B5" s="34" t="s">
        <v>202</v>
      </c>
      <c r="C5" s="34">
        <v>1.0</v>
      </c>
      <c r="D5" s="34" t="s">
        <v>199</v>
      </c>
      <c r="E5" s="180" t="b">
        <v>1</v>
      </c>
      <c r="F5" s="34"/>
      <c r="G5" s="7"/>
      <c r="H5" s="181" t="str">
        <f>IF('Thông tin lớp học'!A10="","",'Thông tin lớp học'!A10)</f>
        <v>Tâm lý học</v>
      </c>
      <c r="I5" s="181">
        <f t="shared" ref="I5:I10" si="1">IF(H5="","",COUNTIF($A$5:$A$204,H5))</f>
        <v>2</v>
      </c>
      <c r="J5" s="181">
        <f t="shared" ref="J5:J10" si="2">IF(H5="","",COUNTIFS($A$5:$A$204,H5,$E$5:$E$204,TRUE))</f>
        <v>1</v>
      </c>
      <c r="K5" s="182">
        <f t="shared" ref="K5:K10" si="3">IF(OR(H5="",I5=0),"",J5/I5)</f>
        <v>0.5</v>
      </c>
      <c r="L5" s="183" t="str">
        <f>IFERROR(__xludf.DUMMYFUNCTION("IF(OR(H5="""",I5=0),"""",SPARKLINE(J5/I5, {""charttype"",""bar""; ""max"",1; ""color1"",""#1a73e8""}))"),"")</f>
        <v/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4" t="s">
        <v>42</v>
      </c>
      <c r="B6" s="34" t="s">
        <v>203</v>
      </c>
      <c r="C6" s="34">
        <v>3.0</v>
      </c>
      <c r="D6" s="34" t="s">
        <v>199</v>
      </c>
      <c r="E6" s="180" t="b">
        <v>1</v>
      </c>
      <c r="F6" s="34"/>
      <c r="G6" s="7"/>
      <c r="H6" s="181" t="str">
        <f>IF('Thông tin lớp học'!A11="","",'Thông tin lớp học'!A11)</f>
        <v>Toán cao cấp</v>
      </c>
      <c r="I6" s="181">
        <f t="shared" si="1"/>
        <v>3</v>
      </c>
      <c r="J6" s="181">
        <f t="shared" si="2"/>
        <v>2</v>
      </c>
      <c r="K6" s="182">
        <f t="shared" si="3"/>
        <v>0.6666666667</v>
      </c>
      <c r="L6" s="183" t="str">
        <f>IFERROR(__xludf.DUMMYFUNCTION("IF(OR(H6="""",I6=0),"""",SPARKLINE(J6/I6, {""charttype"",""bar""; ""max"",1; ""color1"",""#1a73e8""}))"),"")</f>
        <v/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4" t="s">
        <v>42</v>
      </c>
      <c r="B7" s="34" t="s">
        <v>204</v>
      </c>
      <c r="C7" s="34">
        <v>6.0</v>
      </c>
      <c r="D7" s="34" t="s">
        <v>205</v>
      </c>
      <c r="E7" s="180" t="b">
        <v>0</v>
      </c>
      <c r="F7" s="34" t="s">
        <v>206</v>
      </c>
      <c r="G7" s="7"/>
      <c r="H7" s="181" t="str">
        <f>IF('Thông tin lớp học'!A12="","",'Thông tin lớp học'!A12)</f>
        <v>Tiếng Anh giao tiếp</v>
      </c>
      <c r="I7" s="181">
        <f t="shared" si="1"/>
        <v>1</v>
      </c>
      <c r="J7" s="181">
        <f t="shared" si="2"/>
        <v>1</v>
      </c>
      <c r="K7" s="182">
        <f t="shared" si="3"/>
        <v>1</v>
      </c>
      <c r="L7" s="183" t="str">
        <f>IFERROR(__xludf.DUMMYFUNCTION("IF(OR(H7="""",I7=0),"""",SPARKLINE(J7/I7, {""charttype"",""bar""; ""max"",1; ""color1"",""#1a73e8""}))"),"")</f>
        <v/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4" t="s">
        <v>56</v>
      </c>
      <c r="B8" s="34" t="s">
        <v>207</v>
      </c>
      <c r="C8" s="34">
        <v>1.0</v>
      </c>
      <c r="D8" s="34" t="s">
        <v>199</v>
      </c>
      <c r="E8" s="180" t="b">
        <v>1</v>
      </c>
      <c r="F8" s="34"/>
      <c r="G8" s="7"/>
      <c r="H8" s="181" t="str">
        <f>IF('Thông tin lớp học'!A13="","",'Thông tin lớp học'!A13)</f>
        <v>Lập trình C++</v>
      </c>
      <c r="I8" s="181">
        <f t="shared" si="1"/>
        <v>3</v>
      </c>
      <c r="J8" s="181">
        <f t="shared" si="2"/>
        <v>2</v>
      </c>
      <c r="K8" s="182">
        <f t="shared" si="3"/>
        <v>0.6666666667</v>
      </c>
      <c r="L8" s="183" t="str">
        <f>IFERROR(__xludf.DUMMYFUNCTION("IF(OR(H8="""",I8=0),"""",SPARKLINE(J8/I8, {""charttype"",""bar""; ""max"",1; ""color1"",""#1a73e8""}))"),"")</f>
        <v/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4" t="s">
        <v>56</v>
      </c>
      <c r="B9" s="34" t="s">
        <v>208</v>
      </c>
      <c r="C9" s="34">
        <v>4.0</v>
      </c>
      <c r="D9" s="34" t="s">
        <v>199</v>
      </c>
      <c r="E9" s="180" t="b">
        <v>1</v>
      </c>
      <c r="F9" s="34"/>
      <c r="G9" s="7"/>
      <c r="H9" s="181" t="str">
        <f>IF('Thông tin lớp học'!A14="","",'Thông tin lớp học'!A14)</f>
        <v>Triết học Mác-Lênin</v>
      </c>
      <c r="I9" s="181">
        <f t="shared" si="1"/>
        <v>2</v>
      </c>
      <c r="J9" s="181">
        <f t="shared" si="2"/>
        <v>1</v>
      </c>
      <c r="K9" s="182">
        <f t="shared" si="3"/>
        <v>0.5</v>
      </c>
      <c r="L9" s="183" t="str">
        <f>IFERROR(__xludf.DUMMYFUNCTION("IF(OR(H9="""",I9=0),"""",SPARKLINE(J9/I9, {""charttype"",""bar""; ""max"",1; ""color1"",""#1a73e8""}))"),"")</f>
        <v/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4" t="s">
        <v>56</v>
      </c>
      <c r="B10" s="34" t="s">
        <v>209</v>
      </c>
      <c r="C10" s="34">
        <v>7.0</v>
      </c>
      <c r="D10" s="34" t="s">
        <v>205</v>
      </c>
      <c r="E10" s="180" t="b">
        <v>0</v>
      </c>
      <c r="F10" s="34"/>
      <c r="G10" s="7"/>
      <c r="H10" s="181" t="str">
        <f>IF('Thông tin lớp học'!A15="","",'Thông tin lớp học'!A15)</f>
        <v>Kỹ năng mềm</v>
      </c>
      <c r="I10" s="181">
        <f t="shared" si="1"/>
        <v>1</v>
      </c>
      <c r="J10" s="181">
        <f t="shared" si="2"/>
        <v>0</v>
      </c>
      <c r="K10" s="182">
        <f t="shared" si="3"/>
        <v>0</v>
      </c>
      <c r="L10" s="183" t="str">
        <f>IFERROR(__xludf.DUMMYFUNCTION("IF(OR(H10="""",I10=0),"""",SPARKLINE(J10/I10, {""charttype"",""bar""; ""max"",1; ""color1"",""#1a73e8""}))"),"")</f>
        <v/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4" t="s">
        <v>39</v>
      </c>
      <c r="B11" s="34" t="s">
        <v>210</v>
      </c>
      <c r="C11" s="34">
        <v>2.0</v>
      </c>
      <c r="D11" s="34" t="s">
        <v>199</v>
      </c>
      <c r="E11" s="180" t="b">
        <v>1</v>
      </c>
      <c r="F11" s="34"/>
      <c r="G11" s="7"/>
      <c r="H11" s="181"/>
      <c r="I11" s="181"/>
      <c r="J11" s="181"/>
      <c r="K11" s="18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4" t="s">
        <v>39</v>
      </c>
      <c r="B12" s="34" t="s">
        <v>211</v>
      </c>
      <c r="C12" s="34">
        <v>5.0</v>
      </c>
      <c r="D12" s="34" t="s">
        <v>212</v>
      </c>
      <c r="E12" s="180" t="b">
        <v>0</v>
      </c>
      <c r="F12" s="34"/>
      <c r="G12" s="7"/>
      <c r="H12" s="181"/>
      <c r="I12" s="181"/>
      <c r="J12" s="181"/>
      <c r="K12" s="18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4" t="s">
        <v>65</v>
      </c>
      <c r="B13" s="34" t="s">
        <v>213</v>
      </c>
      <c r="C13" s="34">
        <v>2.0</v>
      </c>
      <c r="D13" s="34" t="s">
        <v>199</v>
      </c>
      <c r="E13" s="180" t="b">
        <v>1</v>
      </c>
      <c r="F13" s="34"/>
      <c r="G13" s="7"/>
      <c r="H13" s="185"/>
      <c r="I13" s="185"/>
      <c r="J13" s="185"/>
      <c r="K13" s="186"/>
      <c r="L13" s="18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4" t="s">
        <v>65</v>
      </c>
      <c r="B14" s="34" t="s">
        <v>214</v>
      </c>
      <c r="C14" s="34">
        <v>6.0</v>
      </c>
      <c r="D14" s="34" t="s">
        <v>212</v>
      </c>
      <c r="E14" s="180" t="b">
        <v>0</v>
      </c>
      <c r="F14" s="34"/>
      <c r="G14" s="7"/>
      <c r="H14" s="185"/>
      <c r="I14" s="185"/>
      <c r="J14" s="185"/>
      <c r="K14" s="186"/>
      <c r="L14" s="18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4" t="s">
        <v>53</v>
      </c>
      <c r="B15" s="34" t="s">
        <v>215</v>
      </c>
      <c r="C15" s="34">
        <v>1.0</v>
      </c>
      <c r="D15" s="34" t="s">
        <v>199</v>
      </c>
      <c r="E15" s="180" t="b">
        <v>1</v>
      </c>
      <c r="F15" s="34"/>
      <c r="G15" s="7"/>
      <c r="H15" s="185"/>
      <c r="I15" s="185"/>
      <c r="J15" s="185"/>
      <c r="K15" s="186"/>
      <c r="L15" s="18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4" t="s">
        <v>71</v>
      </c>
      <c r="B16" s="34" t="s">
        <v>216</v>
      </c>
      <c r="C16" s="34">
        <v>4.0</v>
      </c>
      <c r="D16" s="34" t="s">
        <v>205</v>
      </c>
      <c r="E16" s="180" t="b">
        <v>0</v>
      </c>
      <c r="F16" s="34"/>
      <c r="G16" s="7"/>
      <c r="H16" s="185"/>
      <c r="I16" s="185"/>
      <c r="J16" s="185"/>
      <c r="K16" s="186"/>
      <c r="L16" s="18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4"/>
      <c r="B17" s="34"/>
      <c r="C17" s="34"/>
      <c r="D17" s="34"/>
      <c r="E17" s="188" t="str">
        <f t="shared" ref="E17:E204" si="4">IF(D17="Đã học",1,IF(D17="Đang học",0.5,IF(D17="Chưa học",0,"")))</f>
        <v/>
      </c>
      <c r="F17" s="34"/>
      <c r="G17" s="7"/>
      <c r="H17" s="185"/>
      <c r="I17" s="185"/>
      <c r="J17" s="185"/>
      <c r="K17" s="186"/>
      <c r="L17" s="18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4"/>
      <c r="B18" s="34"/>
      <c r="C18" s="34"/>
      <c r="D18" s="34"/>
      <c r="E18" s="188" t="str">
        <f t="shared" si="4"/>
        <v/>
      </c>
      <c r="F18" s="34"/>
      <c r="G18" s="7"/>
      <c r="H18" s="185"/>
      <c r="I18" s="185"/>
      <c r="J18" s="185"/>
      <c r="K18" s="186"/>
      <c r="L18" s="18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4"/>
      <c r="B19" s="34"/>
      <c r="C19" s="34"/>
      <c r="D19" s="34"/>
      <c r="E19" s="188" t="str">
        <f t="shared" si="4"/>
        <v/>
      </c>
      <c r="F19" s="34"/>
      <c r="G19" s="7"/>
      <c r="H19" s="185"/>
      <c r="I19" s="185"/>
      <c r="J19" s="185"/>
      <c r="K19" s="186"/>
      <c r="L19" s="18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4"/>
      <c r="B20" s="34"/>
      <c r="C20" s="34"/>
      <c r="D20" s="34"/>
      <c r="E20" s="188" t="str">
        <f t="shared" si="4"/>
        <v/>
      </c>
      <c r="F20" s="34"/>
      <c r="G20" s="7"/>
      <c r="H20" s="185"/>
      <c r="I20" s="185"/>
      <c r="J20" s="185"/>
      <c r="K20" s="186"/>
      <c r="L20" s="18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4"/>
      <c r="B21" s="34"/>
      <c r="C21" s="34"/>
      <c r="D21" s="34"/>
      <c r="E21" s="188" t="str">
        <f t="shared" si="4"/>
        <v/>
      </c>
      <c r="F21" s="34"/>
      <c r="G21" s="7"/>
      <c r="H21" s="185"/>
      <c r="I21" s="185"/>
      <c r="J21" s="185"/>
      <c r="K21" s="186"/>
      <c r="L21" s="18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4"/>
      <c r="B22" s="34"/>
      <c r="C22" s="34"/>
      <c r="D22" s="34"/>
      <c r="E22" s="188" t="str">
        <f t="shared" si="4"/>
        <v/>
      </c>
      <c r="F22" s="34"/>
      <c r="G22" s="7"/>
      <c r="H22" s="185"/>
      <c r="I22" s="185"/>
      <c r="J22" s="185"/>
      <c r="K22" s="186"/>
      <c r="L22" s="18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4"/>
      <c r="B23" s="34"/>
      <c r="C23" s="34"/>
      <c r="D23" s="34"/>
      <c r="E23" s="188" t="str">
        <f t="shared" si="4"/>
        <v/>
      </c>
      <c r="F23" s="34"/>
      <c r="G23" s="7"/>
      <c r="H23" s="185"/>
      <c r="I23" s="185"/>
      <c r="J23" s="185"/>
      <c r="K23" s="186"/>
      <c r="L23" s="18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4"/>
      <c r="B24" s="34"/>
      <c r="C24" s="34"/>
      <c r="D24" s="34"/>
      <c r="E24" s="188" t="str">
        <f t="shared" si="4"/>
        <v/>
      </c>
      <c r="F24" s="34"/>
      <c r="G24" s="7"/>
      <c r="H24" s="185"/>
      <c r="I24" s="185"/>
      <c r="J24" s="185"/>
      <c r="K24" s="186"/>
      <c r="L24" s="18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4"/>
      <c r="B25" s="34"/>
      <c r="C25" s="34"/>
      <c r="D25" s="34"/>
      <c r="E25" s="188" t="str">
        <f t="shared" si="4"/>
        <v/>
      </c>
      <c r="F25" s="34"/>
      <c r="G25" s="7"/>
      <c r="H25" s="187"/>
      <c r="I25" s="187"/>
      <c r="J25" s="187"/>
      <c r="K25" s="187"/>
      <c r="L25" s="18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4"/>
      <c r="B26" s="34"/>
      <c r="C26" s="34"/>
      <c r="D26" s="34"/>
      <c r="E26" s="188" t="str">
        <f t="shared" si="4"/>
        <v/>
      </c>
      <c r="F26" s="3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4"/>
      <c r="B27" s="34"/>
      <c r="C27" s="34"/>
      <c r="D27" s="34"/>
      <c r="E27" s="188" t="str">
        <f t="shared" si="4"/>
        <v/>
      </c>
      <c r="F27" s="3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4"/>
      <c r="B28" s="34"/>
      <c r="C28" s="34"/>
      <c r="D28" s="34"/>
      <c r="E28" s="188" t="str">
        <f t="shared" si="4"/>
        <v/>
      </c>
      <c r="F28" s="3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4"/>
      <c r="B29" s="34"/>
      <c r="C29" s="34"/>
      <c r="D29" s="34"/>
      <c r="E29" s="188" t="str">
        <f t="shared" si="4"/>
        <v/>
      </c>
      <c r="F29" s="3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4"/>
      <c r="B30" s="34"/>
      <c r="C30" s="34"/>
      <c r="D30" s="34"/>
      <c r="E30" s="188" t="str">
        <f t="shared" si="4"/>
        <v/>
      </c>
      <c r="F30" s="3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4"/>
      <c r="B31" s="34"/>
      <c r="C31" s="34"/>
      <c r="D31" s="34"/>
      <c r="E31" s="188" t="str">
        <f t="shared" si="4"/>
        <v/>
      </c>
      <c r="F31" s="3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4"/>
      <c r="B32" s="34"/>
      <c r="C32" s="34"/>
      <c r="D32" s="34"/>
      <c r="E32" s="188" t="str">
        <f t="shared" si="4"/>
        <v/>
      </c>
      <c r="F32" s="3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4"/>
      <c r="B33" s="34"/>
      <c r="C33" s="34"/>
      <c r="D33" s="34"/>
      <c r="E33" s="188" t="str">
        <f t="shared" si="4"/>
        <v/>
      </c>
      <c r="F33" s="3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4"/>
      <c r="B34" s="34"/>
      <c r="C34" s="34"/>
      <c r="D34" s="34"/>
      <c r="E34" s="188" t="str">
        <f t="shared" si="4"/>
        <v/>
      </c>
      <c r="F34" s="3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4"/>
      <c r="B35" s="34"/>
      <c r="C35" s="34"/>
      <c r="D35" s="34"/>
      <c r="E35" s="188" t="str">
        <f t="shared" si="4"/>
        <v/>
      </c>
      <c r="F35" s="3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4"/>
      <c r="B36" s="34"/>
      <c r="C36" s="34"/>
      <c r="D36" s="34"/>
      <c r="E36" s="188" t="str">
        <f t="shared" si="4"/>
        <v/>
      </c>
      <c r="F36" s="3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4"/>
      <c r="B37" s="34"/>
      <c r="C37" s="34"/>
      <c r="D37" s="34"/>
      <c r="E37" s="188" t="str">
        <f t="shared" si="4"/>
        <v/>
      </c>
      <c r="F37" s="3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4"/>
      <c r="B38" s="34"/>
      <c r="C38" s="34"/>
      <c r="D38" s="34"/>
      <c r="E38" s="188" t="str">
        <f t="shared" si="4"/>
        <v/>
      </c>
      <c r="F38" s="3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4"/>
      <c r="B39" s="34"/>
      <c r="C39" s="34"/>
      <c r="D39" s="34"/>
      <c r="E39" s="188" t="str">
        <f t="shared" si="4"/>
        <v/>
      </c>
      <c r="F39" s="3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B40" s="34"/>
      <c r="C40" s="34"/>
      <c r="D40" s="34"/>
      <c r="E40" s="188" t="str">
        <f t="shared" si="4"/>
        <v/>
      </c>
      <c r="F40" s="3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4"/>
      <c r="B41" s="34"/>
      <c r="C41" s="34"/>
      <c r="D41" s="34"/>
      <c r="E41" s="188" t="str">
        <f t="shared" si="4"/>
        <v/>
      </c>
      <c r="F41" s="3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4"/>
      <c r="B42" s="34"/>
      <c r="C42" s="34"/>
      <c r="D42" s="34"/>
      <c r="E42" s="188" t="str">
        <f t="shared" si="4"/>
        <v/>
      </c>
      <c r="F42" s="3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4"/>
      <c r="B43" s="34"/>
      <c r="C43" s="34"/>
      <c r="D43" s="34"/>
      <c r="E43" s="188" t="str">
        <f t="shared" si="4"/>
        <v/>
      </c>
      <c r="F43" s="3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4"/>
      <c r="B44" s="34"/>
      <c r="C44" s="34"/>
      <c r="D44" s="34"/>
      <c r="E44" s="188" t="str">
        <f t="shared" si="4"/>
        <v/>
      </c>
      <c r="F44" s="3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4"/>
      <c r="B45" s="34"/>
      <c r="C45" s="34"/>
      <c r="D45" s="34"/>
      <c r="E45" s="188" t="str">
        <f t="shared" si="4"/>
        <v/>
      </c>
      <c r="F45" s="3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4"/>
      <c r="B46" s="34"/>
      <c r="C46" s="34"/>
      <c r="D46" s="34"/>
      <c r="E46" s="188" t="str">
        <f t="shared" si="4"/>
        <v/>
      </c>
      <c r="F46" s="3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34"/>
      <c r="B47" s="34"/>
      <c r="C47" s="34"/>
      <c r="D47" s="34"/>
      <c r="E47" s="188" t="str">
        <f t="shared" si="4"/>
        <v/>
      </c>
      <c r="F47" s="3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4"/>
      <c r="B48" s="34"/>
      <c r="C48" s="34"/>
      <c r="D48" s="34"/>
      <c r="E48" s="188" t="str">
        <f t="shared" si="4"/>
        <v/>
      </c>
      <c r="F48" s="3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4"/>
      <c r="B49" s="34"/>
      <c r="C49" s="34"/>
      <c r="D49" s="34"/>
      <c r="E49" s="188" t="str">
        <f t="shared" si="4"/>
        <v/>
      </c>
      <c r="F49" s="3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4"/>
      <c r="B50" s="34"/>
      <c r="C50" s="34"/>
      <c r="D50" s="34"/>
      <c r="E50" s="188" t="str">
        <f t="shared" si="4"/>
        <v/>
      </c>
      <c r="F50" s="3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4"/>
      <c r="B51" s="34"/>
      <c r="C51" s="34"/>
      <c r="D51" s="34"/>
      <c r="E51" s="188" t="str">
        <f t="shared" si="4"/>
        <v/>
      </c>
      <c r="F51" s="3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4"/>
      <c r="B52" s="34"/>
      <c r="C52" s="34"/>
      <c r="D52" s="34"/>
      <c r="E52" s="188" t="str">
        <f t="shared" si="4"/>
        <v/>
      </c>
      <c r="F52" s="3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4"/>
      <c r="B53" s="34"/>
      <c r="C53" s="34"/>
      <c r="D53" s="34"/>
      <c r="E53" s="188" t="str">
        <f t="shared" si="4"/>
        <v/>
      </c>
      <c r="F53" s="3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4"/>
      <c r="B54" s="34"/>
      <c r="C54" s="34"/>
      <c r="D54" s="34"/>
      <c r="E54" s="188" t="str">
        <f t="shared" si="4"/>
        <v/>
      </c>
      <c r="F54" s="3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4"/>
      <c r="B55" s="34"/>
      <c r="C55" s="34"/>
      <c r="D55" s="34"/>
      <c r="E55" s="188" t="str">
        <f t="shared" si="4"/>
        <v/>
      </c>
      <c r="F55" s="3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4"/>
      <c r="B56" s="34"/>
      <c r="C56" s="34"/>
      <c r="D56" s="34"/>
      <c r="E56" s="188" t="str">
        <f t="shared" si="4"/>
        <v/>
      </c>
      <c r="F56" s="3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4"/>
      <c r="B57" s="34"/>
      <c r="C57" s="34"/>
      <c r="D57" s="34"/>
      <c r="E57" s="188" t="str">
        <f t="shared" si="4"/>
        <v/>
      </c>
      <c r="F57" s="3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4"/>
      <c r="B58" s="34"/>
      <c r="C58" s="34"/>
      <c r="D58" s="34"/>
      <c r="E58" s="188" t="str">
        <f t="shared" si="4"/>
        <v/>
      </c>
      <c r="F58" s="3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34"/>
      <c r="B59" s="34"/>
      <c r="C59" s="34"/>
      <c r="D59" s="34"/>
      <c r="E59" s="188" t="str">
        <f t="shared" si="4"/>
        <v/>
      </c>
      <c r="F59" s="3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4"/>
      <c r="B60" s="34"/>
      <c r="C60" s="34"/>
      <c r="D60" s="34"/>
      <c r="E60" s="188" t="str">
        <f t="shared" si="4"/>
        <v/>
      </c>
      <c r="F60" s="3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92"/>
      <c r="B61" s="192"/>
      <c r="C61" s="192"/>
      <c r="D61" s="192"/>
      <c r="E61" s="194" t="str">
        <f t="shared" si="4"/>
        <v/>
      </c>
      <c r="F61" s="192"/>
    </row>
    <row r="62" ht="15.75" customHeight="1">
      <c r="A62" s="192"/>
      <c r="B62" s="192"/>
      <c r="C62" s="192"/>
      <c r="D62" s="192"/>
      <c r="E62" s="194" t="str">
        <f t="shared" si="4"/>
        <v/>
      </c>
      <c r="F62" s="192"/>
    </row>
    <row r="63" ht="15.75" customHeight="1">
      <c r="A63" s="192"/>
      <c r="B63" s="192"/>
      <c r="C63" s="192"/>
      <c r="D63" s="192"/>
      <c r="E63" s="194" t="str">
        <f t="shared" si="4"/>
        <v/>
      </c>
      <c r="F63" s="192"/>
    </row>
    <row r="64" ht="15.75" customHeight="1">
      <c r="A64" s="192"/>
      <c r="B64" s="192"/>
      <c r="C64" s="192"/>
      <c r="D64" s="192"/>
      <c r="E64" s="194" t="str">
        <f t="shared" si="4"/>
        <v/>
      </c>
      <c r="F64" s="192"/>
    </row>
    <row r="65" ht="15.75" customHeight="1">
      <c r="A65" s="192"/>
      <c r="B65" s="192"/>
      <c r="C65" s="192"/>
      <c r="D65" s="192"/>
      <c r="E65" s="194" t="str">
        <f t="shared" si="4"/>
        <v/>
      </c>
      <c r="F65" s="192"/>
    </row>
    <row r="66" ht="15.75" customHeight="1">
      <c r="A66" s="192"/>
      <c r="B66" s="192"/>
      <c r="C66" s="192"/>
      <c r="D66" s="192"/>
      <c r="E66" s="194" t="str">
        <f t="shared" si="4"/>
        <v/>
      </c>
      <c r="F66" s="192"/>
    </row>
    <row r="67" ht="15.75" customHeight="1">
      <c r="A67" s="192"/>
      <c r="B67" s="192"/>
      <c r="C67" s="192"/>
      <c r="D67" s="192"/>
      <c r="E67" s="194" t="str">
        <f t="shared" si="4"/>
        <v/>
      </c>
      <c r="F67" s="192"/>
    </row>
    <row r="68" ht="15.75" customHeight="1">
      <c r="A68" s="192"/>
      <c r="B68" s="192"/>
      <c r="C68" s="192"/>
      <c r="D68" s="192"/>
      <c r="E68" s="194" t="str">
        <f t="shared" si="4"/>
        <v/>
      </c>
      <c r="F68" s="192"/>
    </row>
    <row r="69" ht="15.75" customHeight="1">
      <c r="A69" s="192"/>
      <c r="B69" s="192"/>
      <c r="C69" s="192"/>
      <c r="D69" s="192"/>
      <c r="E69" s="194" t="str">
        <f t="shared" si="4"/>
        <v/>
      </c>
      <c r="F69" s="192"/>
    </row>
    <row r="70" ht="15.75" customHeight="1">
      <c r="A70" s="192"/>
      <c r="B70" s="192"/>
      <c r="C70" s="192"/>
      <c r="D70" s="192"/>
      <c r="E70" s="194" t="str">
        <f t="shared" si="4"/>
        <v/>
      </c>
      <c r="F70" s="192"/>
    </row>
    <row r="71" ht="15.75" customHeight="1">
      <c r="A71" s="192"/>
      <c r="B71" s="192"/>
      <c r="C71" s="192"/>
      <c r="D71" s="192"/>
      <c r="E71" s="194" t="str">
        <f t="shared" si="4"/>
        <v/>
      </c>
      <c r="F71" s="192"/>
    </row>
    <row r="72" ht="15.75" customHeight="1">
      <c r="A72" s="192"/>
      <c r="B72" s="192"/>
      <c r="C72" s="192"/>
      <c r="D72" s="192"/>
      <c r="E72" s="194" t="str">
        <f t="shared" si="4"/>
        <v/>
      </c>
      <c r="F72" s="192"/>
    </row>
    <row r="73" ht="15.75" customHeight="1">
      <c r="A73" s="192"/>
      <c r="B73" s="192"/>
      <c r="C73" s="192"/>
      <c r="D73" s="192"/>
      <c r="E73" s="194" t="str">
        <f t="shared" si="4"/>
        <v/>
      </c>
      <c r="F73" s="192"/>
    </row>
    <row r="74" ht="15.75" customHeight="1">
      <c r="A74" s="192"/>
      <c r="B74" s="192"/>
      <c r="C74" s="192"/>
      <c r="D74" s="192"/>
      <c r="E74" s="194" t="str">
        <f t="shared" si="4"/>
        <v/>
      </c>
      <c r="F74" s="192"/>
    </row>
    <row r="75" ht="15.75" customHeight="1">
      <c r="A75" s="192"/>
      <c r="B75" s="192"/>
      <c r="C75" s="192"/>
      <c r="D75" s="192"/>
      <c r="E75" s="194" t="str">
        <f t="shared" si="4"/>
        <v/>
      </c>
      <c r="F75" s="192"/>
    </row>
    <row r="76" ht="15.75" customHeight="1">
      <c r="A76" s="192"/>
      <c r="B76" s="192"/>
      <c r="C76" s="192"/>
      <c r="D76" s="192"/>
      <c r="E76" s="194" t="str">
        <f t="shared" si="4"/>
        <v/>
      </c>
      <c r="F76" s="192"/>
    </row>
    <row r="77" ht="15.75" customHeight="1">
      <c r="A77" s="192"/>
      <c r="B77" s="192"/>
      <c r="C77" s="192"/>
      <c r="D77" s="192"/>
      <c r="E77" s="194" t="str">
        <f t="shared" si="4"/>
        <v/>
      </c>
      <c r="F77" s="192"/>
    </row>
    <row r="78" ht="15.75" customHeight="1">
      <c r="A78" s="192"/>
      <c r="B78" s="192"/>
      <c r="C78" s="192"/>
      <c r="D78" s="192"/>
      <c r="E78" s="194" t="str">
        <f t="shared" si="4"/>
        <v/>
      </c>
      <c r="F78" s="192"/>
    </row>
    <row r="79" ht="15.75" customHeight="1">
      <c r="A79" s="192"/>
      <c r="B79" s="192"/>
      <c r="C79" s="192"/>
      <c r="D79" s="192"/>
      <c r="E79" s="194" t="str">
        <f t="shared" si="4"/>
        <v/>
      </c>
      <c r="F79" s="192"/>
    </row>
    <row r="80" ht="15.75" customHeight="1">
      <c r="A80" s="192"/>
      <c r="B80" s="192"/>
      <c r="C80" s="192"/>
      <c r="D80" s="192"/>
      <c r="E80" s="194" t="str">
        <f t="shared" si="4"/>
        <v/>
      </c>
      <c r="F80" s="192"/>
    </row>
    <row r="81" ht="15.75" customHeight="1">
      <c r="A81" s="192"/>
      <c r="B81" s="192"/>
      <c r="C81" s="192"/>
      <c r="D81" s="192"/>
      <c r="E81" s="194" t="str">
        <f t="shared" si="4"/>
        <v/>
      </c>
      <c r="F81" s="192"/>
    </row>
    <row r="82" ht="15.75" customHeight="1">
      <c r="A82" s="192"/>
      <c r="B82" s="192"/>
      <c r="C82" s="192"/>
      <c r="D82" s="192"/>
      <c r="E82" s="194" t="str">
        <f t="shared" si="4"/>
        <v/>
      </c>
      <c r="F82" s="192"/>
    </row>
    <row r="83" ht="15.75" customHeight="1">
      <c r="A83" s="192"/>
      <c r="B83" s="192"/>
      <c r="C83" s="192"/>
      <c r="D83" s="192"/>
      <c r="E83" s="194" t="str">
        <f t="shared" si="4"/>
        <v/>
      </c>
      <c r="F83" s="192"/>
    </row>
    <row r="84" ht="15.75" customHeight="1">
      <c r="A84" s="192"/>
      <c r="B84" s="192"/>
      <c r="C84" s="192"/>
      <c r="D84" s="192"/>
      <c r="E84" s="194" t="str">
        <f t="shared" si="4"/>
        <v/>
      </c>
      <c r="F84" s="192"/>
    </row>
    <row r="85" ht="15.75" customHeight="1">
      <c r="A85" s="192"/>
      <c r="B85" s="192"/>
      <c r="C85" s="192"/>
      <c r="D85" s="192"/>
      <c r="E85" s="194" t="str">
        <f t="shared" si="4"/>
        <v/>
      </c>
      <c r="F85" s="192"/>
    </row>
    <row r="86" ht="15.75" customHeight="1">
      <c r="A86" s="192"/>
      <c r="B86" s="192"/>
      <c r="C86" s="192"/>
      <c r="D86" s="192"/>
      <c r="E86" s="194" t="str">
        <f t="shared" si="4"/>
        <v/>
      </c>
      <c r="F86" s="192"/>
    </row>
    <row r="87" ht="15.75" customHeight="1">
      <c r="A87" s="192"/>
      <c r="B87" s="192"/>
      <c r="C87" s="192"/>
      <c r="D87" s="192"/>
      <c r="E87" s="194" t="str">
        <f t="shared" si="4"/>
        <v/>
      </c>
      <c r="F87" s="192"/>
    </row>
    <row r="88" ht="15.75" customHeight="1">
      <c r="A88" s="192"/>
      <c r="B88" s="192"/>
      <c r="C88" s="192"/>
      <c r="D88" s="192"/>
      <c r="E88" s="194" t="str">
        <f t="shared" si="4"/>
        <v/>
      </c>
      <c r="F88" s="192"/>
    </row>
    <row r="89" ht="15.75" customHeight="1">
      <c r="A89" s="192"/>
      <c r="B89" s="192"/>
      <c r="C89" s="192"/>
      <c r="D89" s="192"/>
      <c r="E89" s="194" t="str">
        <f t="shared" si="4"/>
        <v/>
      </c>
      <c r="F89" s="192"/>
    </row>
    <row r="90" ht="15.75" customHeight="1">
      <c r="A90" s="192"/>
      <c r="B90" s="192"/>
      <c r="C90" s="192"/>
      <c r="D90" s="192"/>
      <c r="E90" s="194" t="str">
        <f t="shared" si="4"/>
        <v/>
      </c>
      <c r="F90" s="192"/>
    </row>
    <row r="91" ht="15.75" customHeight="1">
      <c r="A91" s="192"/>
      <c r="B91" s="192"/>
      <c r="C91" s="192"/>
      <c r="D91" s="192"/>
      <c r="E91" s="194" t="str">
        <f t="shared" si="4"/>
        <v/>
      </c>
      <c r="F91" s="192"/>
    </row>
    <row r="92" ht="15.75" customHeight="1">
      <c r="A92" s="192"/>
      <c r="B92" s="192"/>
      <c r="C92" s="192"/>
      <c r="D92" s="192"/>
      <c r="E92" s="194" t="str">
        <f t="shared" si="4"/>
        <v/>
      </c>
      <c r="F92" s="192"/>
    </row>
    <row r="93" ht="15.75" customHeight="1">
      <c r="A93" s="192"/>
      <c r="B93" s="192"/>
      <c r="C93" s="192"/>
      <c r="D93" s="192"/>
      <c r="E93" s="194" t="str">
        <f t="shared" si="4"/>
        <v/>
      </c>
      <c r="F93" s="192"/>
    </row>
    <row r="94" ht="15.75" customHeight="1">
      <c r="A94" s="192"/>
      <c r="B94" s="192"/>
      <c r="C94" s="192"/>
      <c r="D94" s="192"/>
      <c r="E94" s="194" t="str">
        <f t="shared" si="4"/>
        <v/>
      </c>
      <c r="F94" s="192"/>
    </row>
    <row r="95" ht="15.75" customHeight="1">
      <c r="A95" s="192"/>
      <c r="B95" s="192"/>
      <c r="C95" s="192"/>
      <c r="D95" s="192"/>
      <c r="E95" s="194" t="str">
        <f t="shared" si="4"/>
        <v/>
      </c>
      <c r="F95" s="192"/>
    </row>
    <row r="96" ht="15.75" customHeight="1">
      <c r="A96" s="192"/>
      <c r="B96" s="192"/>
      <c r="C96" s="192"/>
      <c r="D96" s="192"/>
      <c r="E96" s="194" t="str">
        <f t="shared" si="4"/>
        <v/>
      </c>
      <c r="F96" s="192"/>
    </row>
    <row r="97" ht="15.75" customHeight="1">
      <c r="A97" s="192"/>
      <c r="B97" s="192"/>
      <c r="C97" s="192"/>
      <c r="D97" s="192"/>
      <c r="E97" s="194" t="str">
        <f t="shared" si="4"/>
        <v/>
      </c>
      <c r="F97" s="192"/>
    </row>
    <row r="98" ht="15.75" customHeight="1">
      <c r="A98" s="192"/>
      <c r="B98" s="192"/>
      <c r="C98" s="192"/>
      <c r="D98" s="192"/>
      <c r="E98" s="194" t="str">
        <f t="shared" si="4"/>
        <v/>
      </c>
      <c r="F98" s="192"/>
    </row>
    <row r="99" ht="15.75" customHeight="1">
      <c r="A99" s="192"/>
      <c r="B99" s="192"/>
      <c r="C99" s="192"/>
      <c r="D99" s="192"/>
      <c r="E99" s="194" t="str">
        <f t="shared" si="4"/>
        <v/>
      </c>
      <c r="F99" s="192"/>
    </row>
    <row r="100" ht="15.75" customHeight="1">
      <c r="A100" s="192"/>
      <c r="B100" s="192"/>
      <c r="C100" s="192"/>
      <c r="D100" s="192"/>
      <c r="E100" s="194" t="str">
        <f t="shared" si="4"/>
        <v/>
      </c>
      <c r="F100" s="192"/>
    </row>
    <row r="101" ht="15.75" customHeight="1">
      <c r="A101" s="192"/>
      <c r="B101" s="192"/>
      <c r="C101" s="192"/>
      <c r="D101" s="192"/>
      <c r="E101" s="194" t="str">
        <f t="shared" si="4"/>
        <v/>
      </c>
      <c r="F101" s="192"/>
    </row>
    <row r="102" ht="15.75" customHeight="1">
      <c r="A102" s="192"/>
      <c r="B102" s="192"/>
      <c r="C102" s="192"/>
      <c r="D102" s="192"/>
      <c r="E102" s="194" t="str">
        <f t="shared" si="4"/>
        <v/>
      </c>
      <c r="F102" s="192"/>
    </row>
    <row r="103" ht="15.75" customHeight="1">
      <c r="A103" s="192"/>
      <c r="B103" s="192"/>
      <c r="C103" s="192"/>
      <c r="D103" s="192"/>
      <c r="E103" s="194" t="str">
        <f t="shared" si="4"/>
        <v/>
      </c>
      <c r="F103" s="192"/>
    </row>
    <row r="104" ht="15.75" customHeight="1">
      <c r="A104" s="192"/>
      <c r="B104" s="192"/>
      <c r="C104" s="192"/>
      <c r="D104" s="192"/>
      <c r="E104" s="194" t="str">
        <f t="shared" si="4"/>
        <v/>
      </c>
      <c r="F104" s="192"/>
    </row>
    <row r="105" ht="15.75" customHeight="1">
      <c r="A105" s="192"/>
      <c r="B105" s="192"/>
      <c r="C105" s="192"/>
      <c r="D105" s="192"/>
      <c r="E105" s="194" t="str">
        <f t="shared" si="4"/>
        <v/>
      </c>
      <c r="F105" s="192"/>
    </row>
    <row r="106" ht="15.75" customHeight="1">
      <c r="A106" s="192"/>
      <c r="B106" s="192"/>
      <c r="C106" s="192"/>
      <c r="D106" s="192"/>
      <c r="E106" s="194" t="str">
        <f t="shared" si="4"/>
        <v/>
      </c>
      <c r="F106" s="192"/>
    </row>
    <row r="107" ht="15.75" customHeight="1">
      <c r="A107" s="192"/>
      <c r="B107" s="192"/>
      <c r="C107" s="192"/>
      <c r="D107" s="192"/>
      <c r="E107" s="194" t="str">
        <f t="shared" si="4"/>
        <v/>
      </c>
      <c r="F107" s="192"/>
    </row>
    <row r="108" ht="15.75" customHeight="1">
      <c r="A108" s="192"/>
      <c r="B108" s="192"/>
      <c r="C108" s="192"/>
      <c r="D108" s="192"/>
      <c r="E108" s="194" t="str">
        <f t="shared" si="4"/>
        <v/>
      </c>
      <c r="F108" s="192"/>
    </row>
    <row r="109" ht="15.75" customHeight="1">
      <c r="A109" s="192"/>
      <c r="B109" s="192"/>
      <c r="C109" s="192"/>
      <c r="D109" s="192"/>
      <c r="E109" s="194" t="str">
        <f t="shared" si="4"/>
        <v/>
      </c>
      <c r="F109" s="192"/>
    </row>
    <row r="110" ht="15.75" customHeight="1">
      <c r="A110" s="192"/>
      <c r="B110" s="192"/>
      <c r="C110" s="192"/>
      <c r="D110" s="192"/>
      <c r="E110" s="194" t="str">
        <f t="shared" si="4"/>
        <v/>
      </c>
      <c r="F110" s="192"/>
    </row>
    <row r="111" ht="15.75" customHeight="1">
      <c r="A111" s="192"/>
      <c r="B111" s="192"/>
      <c r="C111" s="192"/>
      <c r="D111" s="192"/>
      <c r="E111" s="194" t="str">
        <f t="shared" si="4"/>
        <v/>
      </c>
      <c r="F111" s="192"/>
    </row>
    <row r="112" ht="15.75" customHeight="1">
      <c r="A112" s="192"/>
      <c r="B112" s="192"/>
      <c r="C112" s="192"/>
      <c r="D112" s="192"/>
      <c r="E112" s="194" t="str">
        <f t="shared" si="4"/>
        <v/>
      </c>
      <c r="F112" s="192"/>
    </row>
    <row r="113" ht="15.75" customHeight="1">
      <c r="A113" s="192"/>
      <c r="B113" s="192"/>
      <c r="C113" s="192"/>
      <c r="D113" s="192"/>
      <c r="E113" s="194" t="str">
        <f t="shared" si="4"/>
        <v/>
      </c>
      <c r="F113" s="192"/>
    </row>
    <row r="114" ht="15.75" customHeight="1">
      <c r="A114" s="192"/>
      <c r="B114" s="192"/>
      <c r="C114" s="192"/>
      <c r="D114" s="192"/>
      <c r="E114" s="194" t="str">
        <f t="shared" si="4"/>
        <v/>
      </c>
      <c r="F114" s="192"/>
    </row>
    <row r="115" ht="15.75" customHeight="1">
      <c r="A115" s="192"/>
      <c r="B115" s="192"/>
      <c r="C115" s="192"/>
      <c r="D115" s="192"/>
      <c r="E115" s="194" t="str">
        <f t="shared" si="4"/>
        <v/>
      </c>
      <c r="F115" s="192"/>
    </row>
    <row r="116" ht="15.75" customHeight="1">
      <c r="A116" s="192"/>
      <c r="B116" s="192"/>
      <c r="C116" s="192"/>
      <c r="D116" s="192"/>
      <c r="E116" s="194" t="str">
        <f t="shared" si="4"/>
        <v/>
      </c>
      <c r="F116" s="192"/>
    </row>
    <row r="117" ht="15.75" customHeight="1">
      <c r="A117" s="192"/>
      <c r="B117" s="192"/>
      <c r="C117" s="192"/>
      <c r="D117" s="192"/>
      <c r="E117" s="194" t="str">
        <f t="shared" si="4"/>
        <v/>
      </c>
      <c r="F117" s="192"/>
    </row>
    <row r="118" ht="15.75" customHeight="1">
      <c r="A118" s="192"/>
      <c r="B118" s="192"/>
      <c r="C118" s="192"/>
      <c r="D118" s="192"/>
      <c r="E118" s="194" t="str">
        <f t="shared" si="4"/>
        <v/>
      </c>
      <c r="F118" s="192"/>
    </row>
    <row r="119" ht="15.75" customHeight="1">
      <c r="A119" s="192"/>
      <c r="B119" s="192"/>
      <c r="C119" s="192"/>
      <c r="D119" s="192"/>
      <c r="E119" s="194" t="str">
        <f t="shared" si="4"/>
        <v/>
      </c>
      <c r="F119" s="192"/>
    </row>
    <row r="120" ht="15.75" customHeight="1">
      <c r="A120" s="192"/>
      <c r="B120" s="192"/>
      <c r="C120" s="192"/>
      <c r="D120" s="192"/>
      <c r="E120" s="194" t="str">
        <f t="shared" si="4"/>
        <v/>
      </c>
      <c r="F120" s="192"/>
    </row>
    <row r="121" ht="15.75" customHeight="1">
      <c r="A121" s="192"/>
      <c r="B121" s="192"/>
      <c r="C121" s="192"/>
      <c r="D121" s="192"/>
      <c r="E121" s="194" t="str">
        <f t="shared" si="4"/>
        <v/>
      </c>
      <c r="F121" s="192"/>
    </row>
    <row r="122" ht="15.75" customHeight="1">
      <c r="A122" s="192"/>
      <c r="B122" s="192"/>
      <c r="C122" s="192"/>
      <c r="D122" s="192"/>
      <c r="E122" s="194" t="str">
        <f t="shared" si="4"/>
        <v/>
      </c>
      <c r="F122" s="192"/>
    </row>
    <row r="123" ht="15.75" customHeight="1">
      <c r="A123" s="192"/>
      <c r="B123" s="192"/>
      <c r="C123" s="192"/>
      <c r="D123" s="192"/>
      <c r="E123" s="194" t="str">
        <f t="shared" si="4"/>
        <v/>
      </c>
      <c r="F123" s="192"/>
    </row>
    <row r="124" ht="15.75" customHeight="1">
      <c r="A124" s="192"/>
      <c r="B124" s="192"/>
      <c r="C124" s="192"/>
      <c r="D124" s="192"/>
      <c r="E124" s="194" t="str">
        <f t="shared" si="4"/>
        <v/>
      </c>
      <c r="F124" s="192"/>
    </row>
    <row r="125" ht="15.75" customHeight="1">
      <c r="A125" s="192"/>
      <c r="B125" s="192"/>
      <c r="C125" s="192"/>
      <c r="D125" s="192"/>
      <c r="E125" s="194" t="str">
        <f t="shared" si="4"/>
        <v/>
      </c>
      <c r="F125" s="192"/>
    </row>
    <row r="126" ht="15.75" customHeight="1">
      <c r="A126" s="192"/>
      <c r="B126" s="192"/>
      <c r="C126" s="192"/>
      <c r="D126" s="192"/>
      <c r="E126" s="194" t="str">
        <f t="shared" si="4"/>
        <v/>
      </c>
      <c r="F126" s="192"/>
    </row>
    <row r="127" ht="15.75" customHeight="1">
      <c r="A127" s="192"/>
      <c r="B127" s="192"/>
      <c r="C127" s="192"/>
      <c r="D127" s="192"/>
      <c r="E127" s="194" t="str">
        <f t="shared" si="4"/>
        <v/>
      </c>
      <c r="F127" s="192"/>
    </row>
    <row r="128" ht="15.75" customHeight="1">
      <c r="A128" s="192"/>
      <c r="B128" s="192"/>
      <c r="C128" s="192"/>
      <c r="D128" s="192"/>
      <c r="E128" s="194" t="str">
        <f t="shared" si="4"/>
        <v/>
      </c>
      <c r="F128" s="192"/>
    </row>
    <row r="129" ht="15.75" customHeight="1">
      <c r="A129" s="192"/>
      <c r="B129" s="192"/>
      <c r="C129" s="192"/>
      <c r="D129" s="192"/>
      <c r="E129" s="194" t="str">
        <f t="shared" si="4"/>
        <v/>
      </c>
      <c r="F129" s="192"/>
    </row>
    <row r="130" ht="15.75" customHeight="1">
      <c r="A130" s="192"/>
      <c r="B130" s="192"/>
      <c r="C130" s="192"/>
      <c r="D130" s="192"/>
      <c r="E130" s="194" t="str">
        <f t="shared" si="4"/>
        <v/>
      </c>
      <c r="F130" s="192"/>
    </row>
    <row r="131" ht="15.75" customHeight="1">
      <c r="A131" s="192"/>
      <c r="B131" s="192"/>
      <c r="C131" s="192"/>
      <c r="D131" s="192"/>
      <c r="E131" s="194" t="str">
        <f t="shared" si="4"/>
        <v/>
      </c>
      <c r="F131" s="192"/>
    </row>
    <row r="132" ht="15.75" customHeight="1">
      <c r="A132" s="192"/>
      <c r="B132" s="192"/>
      <c r="C132" s="192"/>
      <c r="D132" s="192"/>
      <c r="E132" s="194" t="str">
        <f t="shared" si="4"/>
        <v/>
      </c>
      <c r="F132" s="192"/>
    </row>
    <row r="133" ht="15.75" customHeight="1">
      <c r="A133" s="192"/>
      <c r="B133" s="192"/>
      <c r="C133" s="192"/>
      <c r="D133" s="192"/>
      <c r="E133" s="194" t="str">
        <f t="shared" si="4"/>
        <v/>
      </c>
      <c r="F133" s="192"/>
    </row>
    <row r="134" ht="15.75" customHeight="1">
      <c r="A134" s="192"/>
      <c r="B134" s="192"/>
      <c r="C134" s="192"/>
      <c r="D134" s="192"/>
      <c r="E134" s="194" t="str">
        <f t="shared" si="4"/>
        <v/>
      </c>
      <c r="F134" s="192"/>
    </row>
    <row r="135" ht="15.75" customHeight="1">
      <c r="A135" s="192"/>
      <c r="B135" s="192"/>
      <c r="C135" s="192"/>
      <c r="D135" s="192"/>
      <c r="E135" s="194" t="str">
        <f t="shared" si="4"/>
        <v/>
      </c>
      <c r="F135" s="192"/>
    </row>
    <row r="136" ht="15.75" customHeight="1">
      <c r="A136" s="192"/>
      <c r="B136" s="192"/>
      <c r="C136" s="192"/>
      <c r="D136" s="192"/>
      <c r="E136" s="194" t="str">
        <f t="shared" si="4"/>
        <v/>
      </c>
      <c r="F136" s="192"/>
    </row>
    <row r="137" ht="15.75" customHeight="1">
      <c r="A137" s="192"/>
      <c r="B137" s="192"/>
      <c r="C137" s="192"/>
      <c r="D137" s="192"/>
      <c r="E137" s="194" t="str">
        <f t="shared" si="4"/>
        <v/>
      </c>
      <c r="F137" s="192"/>
    </row>
    <row r="138" ht="15.75" customHeight="1">
      <c r="A138" s="192"/>
      <c r="B138" s="192"/>
      <c r="C138" s="192"/>
      <c r="D138" s="192"/>
      <c r="E138" s="194" t="str">
        <f t="shared" si="4"/>
        <v/>
      </c>
      <c r="F138" s="192"/>
    </row>
    <row r="139" ht="15.75" customHeight="1">
      <c r="A139" s="192"/>
      <c r="B139" s="192"/>
      <c r="C139" s="192"/>
      <c r="D139" s="192"/>
      <c r="E139" s="194" t="str">
        <f t="shared" si="4"/>
        <v/>
      </c>
      <c r="F139" s="192"/>
    </row>
    <row r="140" ht="15.75" customHeight="1">
      <c r="A140" s="192"/>
      <c r="B140" s="192"/>
      <c r="C140" s="192"/>
      <c r="D140" s="192"/>
      <c r="E140" s="194" t="str">
        <f t="shared" si="4"/>
        <v/>
      </c>
      <c r="F140" s="192"/>
    </row>
    <row r="141" ht="15.75" customHeight="1">
      <c r="A141" s="192"/>
      <c r="B141" s="192"/>
      <c r="C141" s="192"/>
      <c r="D141" s="192"/>
      <c r="E141" s="194" t="str">
        <f t="shared" si="4"/>
        <v/>
      </c>
      <c r="F141" s="192"/>
    </row>
    <row r="142" ht="15.75" customHeight="1">
      <c r="A142" s="192"/>
      <c r="B142" s="192"/>
      <c r="C142" s="192"/>
      <c r="D142" s="192"/>
      <c r="E142" s="194" t="str">
        <f t="shared" si="4"/>
        <v/>
      </c>
      <c r="F142" s="192"/>
    </row>
    <row r="143" ht="15.75" customHeight="1">
      <c r="A143" s="192"/>
      <c r="B143" s="192"/>
      <c r="C143" s="192"/>
      <c r="D143" s="192"/>
      <c r="E143" s="194" t="str">
        <f t="shared" si="4"/>
        <v/>
      </c>
      <c r="F143" s="192"/>
    </row>
    <row r="144" ht="15.75" customHeight="1">
      <c r="A144" s="192"/>
      <c r="B144" s="192"/>
      <c r="C144" s="192"/>
      <c r="D144" s="192"/>
      <c r="E144" s="194" t="str">
        <f t="shared" si="4"/>
        <v/>
      </c>
      <c r="F144" s="192"/>
    </row>
    <row r="145" ht="15.75" customHeight="1">
      <c r="A145" s="192"/>
      <c r="B145" s="192"/>
      <c r="C145" s="192"/>
      <c r="D145" s="192"/>
      <c r="E145" s="194" t="str">
        <f t="shared" si="4"/>
        <v/>
      </c>
      <c r="F145" s="192"/>
    </row>
    <row r="146" ht="15.75" customHeight="1">
      <c r="A146" s="192"/>
      <c r="B146" s="192"/>
      <c r="C146" s="192"/>
      <c r="D146" s="192"/>
      <c r="E146" s="194" t="str">
        <f t="shared" si="4"/>
        <v/>
      </c>
      <c r="F146" s="192"/>
    </row>
    <row r="147" ht="15.75" customHeight="1">
      <c r="A147" s="192"/>
      <c r="B147" s="192"/>
      <c r="C147" s="192"/>
      <c r="D147" s="192"/>
      <c r="E147" s="194" t="str">
        <f t="shared" si="4"/>
        <v/>
      </c>
      <c r="F147" s="192"/>
    </row>
    <row r="148" ht="15.75" customHeight="1">
      <c r="A148" s="192"/>
      <c r="B148" s="192"/>
      <c r="C148" s="192"/>
      <c r="D148" s="192"/>
      <c r="E148" s="194" t="str">
        <f t="shared" si="4"/>
        <v/>
      </c>
      <c r="F148" s="192"/>
    </row>
    <row r="149" ht="15.75" customHeight="1">
      <c r="A149" s="192"/>
      <c r="B149" s="192"/>
      <c r="C149" s="192"/>
      <c r="D149" s="192"/>
      <c r="E149" s="194" t="str">
        <f t="shared" si="4"/>
        <v/>
      </c>
      <c r="F149" s="192"/>
    </row>
    <row r="150" ht="15.75" customHeight="1">
      <c r="A150" s="192"/>
      <c r="B150" s="192"/>
      <c r="C150" s="192"/>
      <c r="D150" s="192"/>
      <c r="E150" s="194" t="str">
        <f t="shared" si="4"/>
        <v/>
      </c>
      <c r="F150" s="192"/>
    </row>
    <row r="151" ht="15.75" customHeight="1">
      <c r="A151" s="192"/>
      <c r="B151" s="192"/>
      <c r="C151" s="192"/>
      <c r="D151" s="192"/>
      <c r="E151" s="194" t="str">
        <f t="shared" si="4"/>
        <v/>
      </c>
      <c r="F151" s="192"/>
    </row>
    <row r="152" ht="15.75" customHeight="1">
      <c r="A152" s="192"/>
      <c r="B152" s="192"/>
      <c r="C152" s="192"/>
      <c r="D152" s="192"/>
      <c r="E152" s="194" t="str">
        <f t="shared" si="4"/>
        <v/>
      </c>
      <c r="F152" s="192"/>
    </row>
    <row r="153" ht="15.75" customHeight="1">
      <c r="A153" s="192"/>
      <c r="B153" s="192"/>
      <c r="C153" s="192"/>
      <c r="D153" s="192"/>
      <c r="E153" s="194" t="str">
        <f t="shared" si="4"/>
        <v/>
      </c>
      <c r="F153" s="192"/>
    </row>
    <row r="154" ht="15.75" customHeight="1">
      <c r="A154" s="192"/>
      <c r="B154" s="192"/>
      <c r="C154" s="192"/>
      <c r="D154" s="192"/>
      <c r="E154" s="194" t="str">
        <f t="shared" si="4"/>
        <v/>
      </c>
      <c r="F154" s="192"/>
    </row>
    <row r="155" ht="15.75" customHeight="1">
      <c r="A155" s="192"/>
      <c r="B155" s="192"/>
      <c r="C155" s="192"/>
      <c r="D155" s="192"/>
      <c r="E155" s="194" t="str">
        <f t="shared" si="4"/>
        <v/>
      </c>
      <c r="F155" s="192"/>
    </row>
    <row r="156" ht="15.75" customHeight="1">
      <c r="A156" s="192"/>
      <c r="B156" s="192"/>
      <c r="C156" s="192"/>
      <c r="D156" s="192"/>
      <c r="E156" s="194" t="str">
        <f t="shared" si="4"/>
        <v/>
      </c>
      <c r="F156" s="192"/>
    </row>
    <row r="157" ht="15.75" customHeight="1">
      <c r="A157" s="192"/>
      <c r="B157" s="192"/>
      <c r="C157" s="192"/>
      <c r="D157" s="192"/>
      <c r="E157" s="194" t="str">
        <f t="shared" si="4"/>
        <v/>
      </c>
      <c r="F157" s="192"/>
    </row>
    <row r="158" ht="15.75" customHeight="1">
      <c r="A158" s="192"/>
      <c r="B158" s="192"/>
      <c r="C158" s="192"/>
      <c r="D158" s="192"/>
      <c r="E158" s="194" t="str">
        <f t="shared" si="4"/>
        <v/>
      </c>
      <c r="F158" s="192"/>
    </row>
    <row r="159" ht="15.75" customHeight="1">
      <c r="A159" s="192"/>
      <c r="B159" s="192"/>
      <c r="C159" s="192"/>
      <c r="D159" s="192"/>
      <c r="E159" s="194" t="str">
        <f t="shared" si="4"/>
        <v/>
      </c>
      <c r="F159" s="192"/>
    </row>
    <row r="160" ht="15.75" customHeight="1">
      <c r="A160" s="192"/>
      <c r="B160" s="192"/>
      <c r="C160" s="192"/>
      <c r="D160" s="192"/>
      <c r="E160" s="194" t="str">
        <f t="shared" si="4"/>
        <v/>
      </c>
      <c r="F160" s="192"/>
    </row>
    <row r="161" ht="15.75" customHeight="1">
      <c r="A161" s="192"/>
      <c r="B161" s="192"/>
      <c r="C161" s="192"/>
      <c r="D161" s="192"/>
      <c r="E161" s="194" t="str">
        <f t="shared" si="4"/>
        <v/>
      </c>
      <c r="F161" s="192"/>
    </row>
    <row r="162" ht="15.75" customHeight="1">
      <c r="A162" s="192"/>
      <c r="B162" s="192"/>
      <c r="C162" s="192"/>
      <c r="D162" s="192"/>
      <c r="E162" s="194" t="str">
        <f t="shared" si="4"/>
        <v/>
      </c>
      <c r="F162" s="192"/>
    </row>
    <row r="163" ht="15.75" customHeight="1">
      <c r="A163" s="192"/>
      <c r="B163" s="192"/>
      <c r="C163" s="192"/>
      <c r="D163" s="192"/>
      <c r="E163" s="194" t="str">
        <f t="shared" si="4"/>
        <v/>
      </c>
      <c r="F163" s="192"/>
    </row>
    <row r="164" ht="15.75" customHeight="1">
      <c r="A164" s="192"/>
      <c r="B164" s="192"/>
      <c r="C164" s="192"/>
      <c r="D164" s="192"/>
      <c r="E164" s="194" t="str">
        <f t="shared" si="4"/>
        <v/>
      </c>
      <c r="F164" s="192"/>
    </row>
    <row r="165" ht="15.75" customHeight="1">
      <c r="A165" s="192"/>
      <c r="B165" s="192"/>
      <c r="C165" s="192"/>
      <c r="D165" s="192"/>
      <c r="E165" s="194" t="str">
        <f t="shared" si="4"/>
        <v/>
      </c>
      <c r="F165" s="192"/>
    </row>
    <row r="166" ht="15.75" customHeight="1">
      <c r="A166" s="192"/>
      <c r="B166" s="192"/>
      <c r="C166" s="192"/>
      <c r="D166" s="192"/>
      <c r="E166" s="194" t="str">
        <f t="shared" si="4"/>
        <v/>
      </c>
      <c r="F166" s="192"/>
    </row>
    <row r="167" ht="15.75" customHeight="1">
      <c r="A167" s="192"/>
      <c r="B167" s="192"/>
      <c r="C167" s="192"/>
      <c r="D167" s="192"/>
      <c r="E167" s="194" t="str">
        <f t="shared" si="4"/>
        <v/>
      </c>
      <c r="F167" s="192"/>
    </row>
    <row r="168" ht="15.75" customHeight="1">
      <c r="A168" s="192"/>
      <c r="B168" s="192"/>
      <c r="C168" s="192"/>
      <c r="D168" s="192"/>
      <c r="E168" s="194" t="str">
        <f t="shared" si="4"/>
        <v/>
      </c>
      <c r="F168" s="192"/>
    </row>
    <row r="169" ht="15.75" customHeight="1">
      <c r="A169" s="192"/>
      <c r="B169" s="192"/>
      <c r="C169" s="192"/>
      <c r="D169" s="192"/>
      <c r="E169" s="194" t="str">
        <f t="shared" si="4"/>
        <v/>
      </c>
      <c r="F169" s="192"/>
    </row>
    <row r="170" ht="15.75" customHeight="1">
      <c r="A170" s="192"/>
      <c r="B170" s="192"/>
      <c r="C170" s="192"/>
      <c r="D170" s="192"/>
      <c r="E170" s="194" t="str">
        <f t="shared" si="4"/>
        <v/>
      </c>
      <c r="F170" s="192"/>
    </row>
    <row r="171" ht="15.75" customHeight="1">
      <c r="A171" s="192"/>
      <c r="B171" s="192"/>
      <c r="C171" s="192"/>
      <c r="D171" s="192"/>
      <c r="E171" s="194" t="str">
        <f t="shared" si="4"/>
        <v/>
      </c>
      <c r="F171" s="192"/>
    </row>
    <row r="172" ht="15.75" customHeight="1">
      <c r="A172" s="192"/>
      <c r="B172" s="192"/>
      <c r="C172" s="192"/>
      <c r="D172" s="192"/>
      <c r="E172" s="194" t="str">
        <f t="shared" si="4"/>
        <v/>
      </c>
      <c r="F172" s="192"/>
    </row>
    <row r="173" ht="15.75" customHeight="1">
      <c r="A173" s="192"/>
      <c r="B173" s="192"/>
      <c r="C173" s="192"/>
      <c r="D173" s="192"/>
      <c r="E173" s="194" t="str">
        <f t="shared" si="4"/>
        <v/>
      </c>
      <c r="F173" s="192"/>
    </row>
    <row r="174" ht="15.75" customHeight="1">
      <c r="A174" s="192"/>
      <c r="B174" s="192"/>
      <c r="C174" s="192"/>
      <c r="D174" s="192"/>
      <c r="E174" s="194" t="str">
        <f t="shared" si="4"/>
        <v/>
      </c>
      <c r="F174" s="192"/>
    </row>
    <row r="175" ht="15.75" customHeight="1">
      <c r="A175" s="192"/>
      <c r="B175" s="192"/>
      <c r="C175" s="192"/>
      <c r="D175" s="192"/>
      <c r="E175" s="194" t="str">
        <f t="shared" si="4"/>
        <v/>
      </c>
      <c r="F175" s="192"/>
    </row>
    <row r="176" ht="15.75" customHeight="1">
      <c r="A176" s="192"/>
      <c r="B176" s="192"/>
      <c r="C176" s="192"/>
      <c r="D176" s="192"/>
      <c r="E176" s="194" t="str">
        <f t="shared" si="4"/>
        <v/>
      </c>
      <c r="F176" s="192"/>
    </row>
    <row r="177" ht="15.75" customHeight="1">
      <c r="A177" s="192"/>
      <c r="B177" s="192"/>
      <c r="C177" s="192"/>
      <c r="D177" s="192"/>
      <c r="E177" s="194" t="str">
        <f t="shared" si="4"/>
        <v/>
      </c>
      <c r="F177" s="192"/>
    </row>
    <row r="178" ht="15.75" customHeight="1">
      <c r="A178" s="192"/>
      <c r="B178" s="192"/>
      <c r="C178" s="192"/>
      <c r="D178" s="192"/>
      <c r="E178" s="194" t="str">
        <f t="shared" si="4"/>
        <v/>
      </c>
      <c r="F178" s="192"/>
    </row>
    <row r="179" ht="15.75" customHeight="1">
      <c r="A179" s="192"/>
      <c r="B179" s="192"/>
      <c r="C179" s="192"/>
      <c r="D179" s="192"/>
      <c r="E179" s="194" t="str">
        <f t="shared" si="4"/>
        <v/>
      </c>
      <c r="F179" s="192"/>
    </row>
    <row r="180" ht="15.75" customHeight="1">
      <c r="A180" s="192"/>
      <c r="B180" s="192"/>
      <c r="C180" s="192"/>
      <c r="D180" s="192"/>
      <c r="E180" s="194" t="str">
        <f t="shared" si="4"/>
        <v/>
      </c>
      <c r="F180" s="192"/>
    </row>
    <row r="181" ht="15.75" customHeight="1">
      <c r="A181" s="192"/>
      <c r="B181" s="192"/>
      <c r="C181" s="192"/>
      <c r="D181" s="192"/>
      <c r="E181" s="194" t="str">
        <f t="shared" si="4"/>
        <v/>
      </c>
      <c r="F181" s="192"/>
    </row>
    <row r="182" ht="15.75" customHeight="1">
      <c r="A182" s="192"/>
      <c r="B182" s="192"/>
      <c r="C182" s="192"/>
      <c r="D182" s="192"/>
      <c r="E182" s="194" t="str">
        <f t="shared" si="4"/>
        <v/>
      </c>
      <c r="F182" s="192"/>
    </row>
    <row r="183" ht="15.75" customHeight="1">
      <c r="A183" s="192"/>
      <c r="B183" s="192"/>
      <c r="C183" s="192"/>
      <c r="D183" s="192"/>
      <c r="E183" s="194" t="str">
        <f t="shared" si="4"/>
        <v/>
      </c>
      <c r="F183" s="192"/>
    </row>
    <row r="184" ht="15.75" customHeight="1">
      <c r="A184" s="192"/>
      <c r="B184" s="192"/>
      <c r="C184" s="192"/>
      <c r="D184" s="192"/>
      <c r="E184" s="194" t="str">
        <f t="shared" si="4"/>
        <v/>
      </c>
      <c r="F184" s="192"/>
    </row>
    <row r="185" ht="15.75" customHeight="1">
      <c r="A185" s="192"/>
      <c r="B185" s="192"/>
      <c r="C185" s="192"/>
      <c r="D185" s="192"/>
      <c r="E185" s="194" t="str">
        <f t="shared" si="4"/>
        <v/>
      </c>
      <c r="F185" s="192"/>
    </row>
    <row r="186" ht="15.75" customHeight="1">
      <c r="A186" s="192"/>
      <c r="B186" s="192"/>
      <c r="C186" s="192"/>
      <c r="D186" s="192"/>
      <c r="E186" s="194" t="str">
        <f t="shared" si="4"/>
        <v/>
      </c>
      <c r="F186" s="192"/>
    </row>
    <row r="187" ht="15.75" customHeight="1">
      <c r="A187" s="192"/>
      <c r="B187" s="192"/>
      <c r="C187" s="192"/>
      <c r="D187" s="192"/>
      <c r="E187" s="194" t="str">
        <f t="shared" si="4"/>
        <v/>
      </c>
      <c r="F187" s="192"/>
    </row>
    <row r="188" ht="15.75" customHeight="1">
      <c r="A188" s="192"/>
      <c r="B188" s="192"/>
      <c r="C188" s="192"/>
      <c r="D188" s="192"/>
      <c r="E188" s="194" t="str">
        <f t="shared" si="4"/>
        <v/>
      </c>
      <c r="F188" s="192"/>
    </row>
    <row r="189" ht="15.75" customHeight="1">
      <c r="A189" s="192"/>
      <c r="B189" s="192"/>
      <c r="C189" s="192"/>
      <c r="D189" s="192"/>
      <c r="E189" s="194" t="str">
        <f t="shared" si="4"/>
        <v/>
      </c>
      <c r="F189" s="192"/>
    </row>
    <row r="190" ht="15.75" customHeight="1">
      <c r="A190" s="192"/>
      <c r="B190" s="192"/>
      <c r="C190" s="192"/>
      <c r="D190" s="192"/>
      <c r="E190" s="194" t="str">
        <f t="shared" si="4"/>
        <v/>
      </c>
      <c r="F190" s="192"/>
    </row>
    <row r="191" ht="15.75" customHeight="1">
      <c r="A191" s="192"/>
      <c r="B191" s="192"/>
      <c r="C191" s="192"/>
      <c r="D191" s="192"/>
      <c r="E191" s="194" t="str">
        <f t="shared" si="4"/>
        <v/>
      </c>
      <c r="F191" s="192"/>
    </row>
    <row r="192" ht="15.75" customHeight="1">
      <c r="A192" s="192"/>
      <c r="B192" s="192"/>
      <c r="C192" s="192"/>
      <c r="D192" s="192"/>
      <c r="E192" s="194" t="str">
        <f t="shared" si="4"/>
        <v/>
      </c>
      <c r="F192" s="192"/>
    </row>
    <row r="193" ht="15.75" customHeight="1">
      <c r="A193" s="192"/>
      <c r="B193" s="192"/>
      <c r="C193" s="192"/>
      <c r="D193" s="192"/>
      <c r="E193" s="194" t="str">
        <f t="shared" si="4"/>
        <v/>
      </c>
      <c r="F193" s="192"/>
    </row>
    <row r="194" ht="15.75" customHeight="1">
      <c r="A194" s="192"/>
      <c r="B194" s="192"/>
      <c r="C194" s="192"/>
      <c r="D194" s="192"/>
      <c r="E194" s="194" t="str">
        <f t="shared" si="4"/>
        <v/>
      </c>
      <c r="F194" s="192"/>
    </row>
    <row r="195" ht="15.75" customHeight="1">
      <c r="A195" s="192"/>
      <c r="B195" s="192"/>
      <c r="C195" s="192"/>
      <c r="D195" s="192"/>
      <c r="E195" s="194" t="str">
        <f t="shared" si="4"/>
        <v/>
      </c>
      <c r="F195" s="192"/>
    </row>
    <row r="196" ht="15.75" customHeight="1">
      <c r="A196" s="192"/>
      <c r="B196" s="192"/>
      <c r="C196" s="192"/>
      <c r="D196" s="192"/>
      <c r="E196" s="194" t="str">
        <f t="shared" si="4"/>
        <v/>
      </c>
      <c r="F196" s="192"/>
    </row>
    <row r="197" ht="15.75" customHeight="1">
      <c r="A197" s="192"/>
      <c r="B197" s="192"/>
      <c r="C197" s="192"/>
      <c r="D197" s="192"/>
      <c r="E197" s="194" t="str">
        <f t="shared" si="4"/>
        <v/>
      </c>
      <c r="F197" s="192"/>
    </row>
    <row r="198" ht="15.75" customHeight="1">
      <c r="A198" s="192"/>
      <c r="B198" s="192"/>
      <c r="C198" s="192"/>
      <c r="D198" s="192"/>
      <c r="E198" s="194" t="str">
        <f t="shared" si="4"/>
        <v/>
      </c>
      <c r="F198" s="192"/>
    </row>
    <row r="199" ht="15.75" customHeight="1">
      <c r="A199" s="192"/>
      <c r="B199" s="192"/>
      <c r="C199" s="192"/>
      <c r="D199" s="192"/>
      <c r="E199" s="194" t="str">
        <f t="shared" si="4"/>
        <v/>
      </c>
      <c r="F199" s="192"/>
    </row>
    <row r="200" ht="15.75" customHeight="1">
      <c r="A200" s="192"/>
      <c r="B200" s="192"/>
      <c r="C200" s="192"/>
      <c r="D200" s="192"/>
      <c r="E200" s="194" t="str">
        <f t="shared" si="4"/>
        <v/>
      </c>
      <c r="F200" s="192"/>
    </row>
    <row r="201" ht="15.75" customHeight="1">
      <c r="A201" s="192"/>
      <c r="B201" s="192"/>
      <c r="C201" s="192"/>
      <c r="D201" s="192"/>
      <c r="E201" s="194" t="str">
        <f t="shared" si="4"/>
        <v/>
      </c>
      <c r="F201" s="192"/>
    </row>
    <row r="202" ht="15.75" customHeight="1">
      <c r="A202" s="192"/>
      <c r="B202" s="192"/>
      <c r="C202" s="192"/>
      <c r="D202" s="192"/>
      <c r="E202" s="194" t="str">
        <f t="shared" si="4"/>
        <v/>
      </c>
      <c r="F202" s="192"/>
    </row>
    <row r="203" ht="15.75" customHeight="1">
      <c r="A203" s="192"/>
      <c r="B203" s="192"/>
      <c r="C203" s="192"/>
      <c r="D203" s="192"/>
      <c r="E203" s="194" t="str">
        <f t="shared" si="4"/>
        <v/>
      </c>
      <c r="F203" s="192"/>
    </row>
    <row r="204" ht="15.75" customHeight="1">
      <c r="A204" s="192"/>
      <c r="B204" s="192"/>
      <c r="C204" s="192"/>
      <c r="D204" s="192"/>
      <c r="E204" s="194" t="str">
        <f t="shared" si="4"/>
        <v/>
      </c>
      <c r="F204" s="192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H1:L1"/>
    <mergeCell ref="C2:D2"/>
    <mergeCell ref="E2:F2"/>
    <mergeCell ref="H2:L3"/>
    <mergeCell ref="C3:D3"/>
    <mergeCell ref="E3:F3"/>
  </mergeCells>
  <conditionalFormatting sqref="D5:D204">
    <cfRule type="expression" dxfId="3" priority="1">
      <formula>$D5="Đã học"</formula>
    </cfRule>
  </conditionalFormatting>
  <conditionalFormatting sqref="D5:D204">
    <cfRule type="expression" dxfId="8" priority="2">
      <formula>$D5="Đang học"</formula>
    </cfRule>
  </conditionalFormatting>
  <conditionalFormatting sqref="D5:D204">
    <cfRule type="expression" dxfId="9" priority="3">
      <formula>$D5="Chưa học"</formula>
    </cfRule>
  </conditionalFormatting>
  <dataValidations>
    <dataValidation type="list" allowBlank="1" sqref="D5:D16">
      <formula1>"Đã học,Đang học,Chưa học"</formula1>
    </dataValidation>
    <dataValidation type="list" allowBlank="1" sqref="A5:A204">
      <formula1>'Thông tin lớp học'!$A$10:$A$15</formula1>
    </dataValidation>
    <dataValidation type="list" allowBlank="1" sqref="D17:D204">
      <formula1>"Chưa học,Đang học,Đã học"</formula1>
    </dataValidation>
  </dataValidations>
  <hyperlinks>
    <hyperlink display="⌂ Về Dashboard" location="Dashboard!A1" ref="H1"/>
  </hyperlink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ySplit="22.0" topLeftCell="A23" activePane="bottomLeft" state="frozen"/>
      <selection activeCell="B24" sqref="B24" pane="bottomLeft"/>
    </sheetView>
  </sheetViews>
  <sheetFormatPr customHeight="1" defaultColWidth="14.43" defaultRowHeight="15.0"/>
  <cols>
    <col customWidth="1" min="1" max="1" width="23.0"/>
    <col customWidth="1" min="2" max="2" width="37.29"/>
    <col customWidth="1" min="3" max="3" width="10.86"/>
    <col customWidth="1" min="4" max="4" width="15.0"/>
    <col customWidth="1" min="5" max="5" width="10.14"/>
    <col customWidth="1" min="6" max="6" width="7.86"/>
    <col customWidth="1" min="7" max="7" width="19.14"/>
    <col customWidth="1" min="8" max="8" width="7.29"/>
    <col customWidth="1" min="9" max="9" width="30.71"/>
    <col customWidth="1" min="10" max="10" width="6.14"/>
    <col customWidth="1" min="11" max="11" width="6.57"/>
    <col customWidth="1" min="12" max="26" width="8.71"/>
  </cols>
  <sheetData>
    <row r="1" ht="30.0" customHeight="1">
      <c r="A1" s="166" t="s">
        <v>217</v>
      </c>
      <c r="B1" s="167"/>
      <c r="C1" s="167"/>
      <c r="D1" s="167"/>
      <c r="E1" s="167"/>
      <c r="F1" s="168"/>
      <c r="G1" s="169" t="s">
        <v>2</v>
      </c>
      <c r="H1" s="170"/>
      <c r="I1" s="170"/>
      <c r="J1" s="170"/>
      <c r="K1" s="17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189" t="s">
        <v>218</v>
      </c>
      <c r="C3" s="189" t="s">
        <v>219</v>
      </c>
      <c r="D3" s="189" t="s">
        <v>220</v>
      </c>
      <c r="E3" s="189" t="s">
        <v>200</v>
      </c>
      <c r="F3" s="189" t="s">
        <v>221</v>
      </c>
      <c r="G3" s="190" t="s">
        <v>222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91">
        <f>COUNTA(B23:B72)</f>
        <v>13</v>
      </c>
      <c r="C4" s="191">
        <f>COUNTIF(D23:D72,"Hoàn thành")</f>
        <v>7</v>
      </c>
      <c r="D4" s="191">
        <f>B4-C4</f>
        <v>6</v>
      </c>
      <c r="E4" s="193" t="str">
        <f>IFERROR(__xludf.DUMMYFUNCTION("IF(B4=0, """", SPARKLINE(C4/B4, {""charttype"",""bar""; ""max"",1; ""color1"",""#1a73e8""}))"),"")</f>
        <v/>
      </c>
      <c r="F4" s="191">
        <f>COUNTIFS(G23:G72,"&lt;"&amp;TODAY(),D23:D72,"&lt;&gt;Hoàn thành",B23:B72,"&lt;&gt;")</f>
        <v>3</v>
      </c>
      <c r="G4" s="195">
        <f>COUNTIFS(G23:G72, "&lt;="&amp;TODAY()+2, G23:G72, "&gt;="&amp;TODAY(), D23:D72, "&lt;&gt;Hoàn thành", B23:B72, "&lt;&gt;")</f>
        <v>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idden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idden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14" t="s">
        <v>223</v>
      </c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1.5" customHeight="1">
      <c r="A22" s="28" t="s">
        <v>32</v>
      </c>
      <c r="B22" s="28" t="s">
        <v>224</v>
      </c>
      <c r="C22" s="28" t="s">
        <v>22</v>
      </c>
      <c r="D22" s="28" t="s">
        <v>31</v>
      </c>
      <c r="E22" s="28" t="s">
        <v>225</v>
      </c>
      <c r="F22" s="28" t="s">
        <v>226</v>
      </c>
      <c r="G22" s="28" t="s">
        <v>227</v>
      </c>
      <c r="H22" s="28" t="s">
        <v>228</v>
      </c>
      <c r="I22" s="28" t="s">
        <v>27</v>
      </c>
      <c r="J22" s="28" t="s">
        <v>229</v>
      </c>
      <c r="K22" s="28" t="s">
        <v>230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0" t="s">
        <v>39</v>
      </c>
      <c r="B23" s="30" t="s">
        <v>231</v>
      </c>
      <c r="C23" s="30" t="s">
        <v>232</v>
      </c>
      <c r="D23" s="30" t="s">
        <v>19</v>
      </c>
      <c r="E23" s="197">
        <v>1.0</v>
      </c>
      <c r="F23" s="198">
        <v>0.458333333333333</v>
      </c>
      <c r="G23" s="199">
        <v>46255.0</v>
      </c>
      <c r="H23" s="200" t="str">
        <f t="shared" ref="H23:H72" si="1">IF(G23="","",IF(D23="Hoàn thành","✔",G23-TODAY()))</f>
        <v>✔</v>
      </c>
      <c r="I23" s="30" t="s">
        <v>233</v>
      </c>
      <c r="J23" s="30" t="s">
        <v>234</v>
      </c>
      <c r="K23" s="201" t="str">
        <f t="shared" ref="K23:K72" si="2">IF(AND(G23&lt;&gt;"",D23&lt;&gt;"Hoàn thành"),COUNTIFS($G$23:$G$72,"&lt;"&amp;G23,$D$23:$D$72,"&lt;&gt;Hoàn thành")+COUNTIFS($G$23:G23,G23,$D$23:D23,"&lt;&gt;Hoàn thành"),"")</f>
        <v/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0" t="s">
        <v>42</v>
      </c>
      <c r="B24" s="30" t="s">
        <v>235</v>
      </c>
      <c r="C24" s="30" t="s">
        <v>218</v>
      </c>
      <c r="D24" s="30" t="s">
        <v>19</v>
      </c>
      <c r="E24" s="197">
        <v>2.0</v>
      </c>
      <c r="F24" s="198">
        <v>0.958333333333333</v>
      </c>
      <c r="G24" s="199">
        <v>46260.0</v>
      </c>
      <c r="H24" s="200" t="str">
        <f t="shared" si="1"/>
        <v>✔</v>
      </c>
      <c r="I24" s="30" t="s">
        <v>236</v>
      </c>
      <c r="J24" s="30" t="s">
        <v>234</v>
      </c>
      <c r="K24" s="201" t="str">
        <f t="shared" si="2"/>
        <v/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0" t="s">
        <v>53</v>
      </c>
      <c r="B25" s="30" t="s">
        <v>237</v>
      </c>
      <c r="C25" s="30" t="s">
        <v>218</v>
      </c>
      <c r="D25" s="30" t="s">
        <v>19</v>
      </c>
      <c r="E25" s="197">
        <v>1.0</v>
      </c>
      <c r="F25" s="198">
        <v>0.416666666666667</v>
      </c>
      <c r="G25" s="199">
        <v>46262.0</v>
      </c>
      <c r="H25" s="200" t="str">
        <f t="shared" si="1"/>
        <v>✔</v>
      </c>
      <c r="I25" s="30" t="s">
        <v>238</v>
      </c>
      <c r="J25" s="30" t="s">
        <v>239</v>
      </c>
      <c r="K25" s="201" t="str">
        <f t="shared" si="2"/>
        <v/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56</v>
      </c>
      <c r="B26" s="30" t="s">
        <v>240</v>
      </c>
      <c r="C26" s="30" t="s">
        <v>241</v>
      </c>
      <c r="D26" s="30" t="s">
        <v>19</v>
      </c>
      <c r="E26" s="197">
        <v>3.0</v>
      </c>
      <c r="F26" s="198">
        <v>0.5</v>
      </c>
      <c r="G26" s="199">
        <v>46264.0</v>
      </c>
      <c r="H26" s="200" t="str">
        <f t="shared" si="1"/>
        <v>✔</v>
      </c>
      <c r="I26" s="30" t="s">
        <v>242</v>
      </c>
      <c r="J26" s="30" t="s">
        <v>243</v>
      </c>
      <c r="K26" s="201" t="str">
        <f t="shared" si="2"/>
        <v/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0" t="s">
        <v>65</v>
      </c>
      <c r="B27" s="30" t="s">
        <v>244</v>
      </c>
      <c r="C27" s="30" t="s">
        <v>232</v>
      </c>
      <c r="D27" s="30" t="s">
        <v>19</v>
      </c>
      <c r="E27" s="197">
        <v>5.0</v>
      </c>
      <c r="F27" s="198">
        <v>0.333333333333333</v>
      </c>
      <c r="G27" s="199">
        <v>46280.0</v>
      </c>
      <c r="H27" s="200" t="str">
        <f t="shared" si="1"/>
        <v>✔</v>
      </c>
      <c r="I27" s="30" t="s">
        <v>245</v>
      </c>
      <c r="J27" s="30" t="s">
        <v>246</v>
      </c>
      <c r="K27" s="201" t="str">
        <f t="shared" si="2"/>
        <v/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0" t="s">
        <v>42</v>
      </c>
      <c r="B28" s="30" t="s">
        <v>247</v>
      </c>
      <c r="C28" s="30" t="s">
        <v>218</v>
      </c>
      <c r="D28" s="202" t="s">
        <v>19</v>
      </c>
      <c r="E28" s="197">
        <v>2.0</v>
      </c>
      <c r="F28" s="198">
        <v>0.999305555555556</v>
      </c>
      <c r="G28" s="199">
        <v>46297.0</v>
      </c>
      <c r="H28" s="200" t="str">
        <f t="shared" si="1"/>
        <v>✔</v>
      </c>
      <c r="I28" s="30" t="s">
        <v>248</v>
      </c>
      <c r="J28" s="30"/>
      <c r="K28" s="201" t="str">
        <f t="shared" si="2"/>
        <v/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0" t="s">
        <v>39</v>
      </c>
      <c r="B29" s="30" t="s">
        <v>249</v>
      </c>
      <c r="C29" s="30" t="s">
        <v>218</v>
      </c>
      <c r="D29" s="202" t="s">
        <v>19</v>
      </c>
      <c r="E29" s="197">
        <v>1.0</v>
      </c>
      <c r="F29" s="198">
        <v>0.875</v>
      </c>
      <c r="G29" s="199">
        <v>46300.0</v>
      </c>
      <c r="H29" s="200" t="str">
        <f t="shared" si="1"/>
        <v>✔</v>
      </c>
      <c r="I29" s="30" t="s">
        <v>250</v>
      </c>
      <c r="J29" s="30"/>
      <c r="K29" s="201" t="str">
        <f t="shared" si="2"/>
        <v/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0" t="s">
        <v>71</v>
      </c>
      <c r="B30" s="30" t="s">
        <v>251</v>
      </c>
      <c r="C30" s="30" t="s">
        <v>218</v>
      </c>
      <c r="D30" s="202" t="s">
        <v>252</v>
      </c>
      <c r="E30" s="197">
        <v>2.0</v>
      </c>
      <c r="F30" s="198">
        <v>0.708333333333333</v>
      </c>
      <c r="G30" s="199">
        <v>46300.0</v>
      </c>
      <c r="H30" s="200">
        <f t="shared" si="1"/>
        <v>-6</v>
      </c>
      <c r="I30" s="202" t="s">
        <v>253</v>
      </c>
      <c r="J30" s="30"/>
      <c r="K30" s="201">
        <f t="shared" si="2"/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0" t="s">
        <v>42</v>
      </c>
      <c r="B31" s="30" t="s">
        <v>254</v>
      </c>
      <c r="C31" s="30" t="s">
        <v>232</v>
      </c>
      <c r="D31" s="30" t="s">
        <v>255</v>
      </c>
      <c r="E31" s="197">
        <v>2.0</v>
      </c>
      <c r="F31" s="198">
        <v>0.395833333333333</v>
      </c>
      <c r="G31" s="199">
        <v>46302.0</v>
      </c>
      <c r="H31" s="200">
        <f t="shared" si="1"/>
        <v>-4</v>
      </c>
      <c r="I31" s="30" t="s">
        <v>256</v>
      </c>
      <c r="J31" s="30"/>
      <c r="K31" s="201">
        <f t="shared" si="2"/>
        <v>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0" t="s">
        <v>53</v>
      </c>
      <c r="B32" s="30" t="s">
        <v>257</v>
      </c>
      <c r="C32" s="30" t="s">
        <v>218</v>
      </c>
      <c r="D32" s="30" t="s">
        <v>255</v>
      </c>
      <c r="E32" s="197">
        <v>1.0</v>
      </c>
      <c r="F32" s="198">
        <v>0.479166666666667</v>
      </c>
      <c r="G32" s="199">
        <v>46304.0</v>
      </c>
      <c r="H32" s="200">
        <f t="shared" si="1"/>
        <v>-2</v>
      </c>
      <c r="I32" s="30" t="s">
        <v>258</v>
      </c>
      <c r="J32" s="30"/>
      <c r="K32" s="201">
        <f t="shared" si="2"/>
        <v>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0" t="s">
        <v>56</v>
      </c>
      <c r="B33" s="30" t="s">
        <v>259</v>
      </c>
      <c r="C33" s="30" t="s">
        <v>241</v>
      </c>
      <c r="D33" s="30" t="s">
        <v>252</v>
      </c>
      <c r="E33" s="197">
        <v>4.0</v>
      </c>
      <c r="F33" s="198">
        <v>0.979166666666667</v>
      </c>
      <c r="G33" s="199">
        <v>46307.0</v>
      </c>
      <c r="H33" s="200">
        <f t="shared" si="1"/>
        <v>1</v>
      </c>
      <c r="I33" s="30" t="s">
        <v>260</v>
      </c>
      <c r="J33" s="30"/>
      <c r="K33" s="201">
        <f t="shared" si="2"/>
        <v>4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0" t="s">
        <v>65</v>
      </c>
      <c r="B34" s="30" t="s">
        <v>261</v>
      </c>
      <c r="C34" s="30" t="s">
        <v>232</v>
      </c>
      <c r="D34" s="30" t="s">
        <v>255</v>
      </c>
      <c r="E34" s="197">
        <v>1.0</v>
      </c>
      <c r="F34" s="198">
        <v>0.583333333333333</v>
      </c>
      <c r="G34" s="199">
        <v>46309.0</v>
      </c>
      <c r="H34" s="200">
        <f t="shared" si="1"/>
        <v>3</v>
      </c>
      <c r="I34" s="30" t="s">
        <v>262</v>
      </c>
      <c r="J34" s="30"/>
      <c r="K34" s="201">
        <f t="shared" si="2"/>
        <v>5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0" t="s">
        <v>71</v>
      </c>
      <c r="B35" s="30" t="s">
        <v>263</v>
      </c>
      <c r="C35" s="30" t="s">
        <v>241</v>
      </c>
      <c r="D35" s="30" t="s">
        <v>252</v>
      </c>
      <c r="E35" s="197">
        <v>3.0</v>
      </c>
      <c r="F35" s="198">
        <v>0.666666666666667</v>
      </c>
      <c r="G35" s="199">
        <v>46315.0</v>
      </c>
      <c r="H35" s="200">
        <f t="shared" si="1"/>
        <v>9</v>
      </c>
      <c r="I35" s="30" t="s">
        <v>264</v>
      </c>
      <c r="J35" s="30"/>
      <c r="K35" s="201">
        <f t="shared" si="2"/>
        <v>6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0"/>
      <c r="B36" s="30"/>
      <c r="C36" s="30"/>
      <c r="D36" s="30"/>
      <c r="E36" s="197"/>
      <c r="F36" s="198"/>
      <c r="G36" s="199"/>
      <c r="H36" s="200" t="str">
        <f t="shared" si="1"/>
        <v/>
      </c>
      <c r="I36" s="30"/>
      <c r="J36" s="30"/>
      <c r="K36" s="201" t="str">
        <f t="shared" si="2"/>
        <v/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0"/>
      <c r="B37" s="30"/>
      <c r="C37" s="30"/>
      <c r="D37" s="30"/>
      <c r="E37" s="197"/>
      <c r="F37" s="198"/>
      <c r="G37" s="199"/>
      <c r="H37" s="200" t="str">
        <f t="shared" si="1"/>
        <v/>
      </c>
      <c r="I37" s="30"/>
      <c r="J37" s="30"/>
      <c r="K37" s="201" t="str">
        <f t="shared" si="2"/>
        <v/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0"/>
      <c r="B38" s="30"/>
      <c r="C38" s="30"/>
      <c r="D38" s="30"/>
      <c r="E38" s="197"/>
      <c r="F38" s="198"/>
      <c r="G38" s="199"/>
      <c r="H38" s="200" t="str">
        <f t="shared" si="1"/>
        <v/>
      </c>
      <c r="I38" s="30"/>
      <c r="J38" s="30"/>
      <c r="K38" s="201" t="str">
        <f t="shared" si="2"/>
        <v/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30"/>
      <c r="C39" s="30"/>
      <c r="D39" s="30"/>
      <c r="E39" s="197"/>
      <c r="F39" s="198"/>
      <c r="G39" s="199"/>
      <c r="H39" s="200" t="str">
        <f t="shared" si="1"/>
        <v/>
      </c>
      <c r="I39" s="30"/>
      <c r="J39" s="30"/>
      <c r="K39" s="201" t="str">
        <f t="shared" si="2"/>
        <v/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0"/>
      <c r="B40" s="30"/>
      <c r="C40" s="30"/>
      <c r="D40" s="30"/>
      <c r="E40" s="197"/>
      <c r="F40" s="198"/>
      <c r="G40" s="199"/>
      <c r="H40" s="200" t="str">
        <f t="shared" si="1"/>
        <v/>
      </c>
      <c r="I40" s="30"/>
      <c r="J40" s="30"/>
      <c r="K40" s="201" t="str">
        <f t="shared" si="2"/>
        <v/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0"/>
      <c r="B41" s="30"/>
      <c r="C41" s="30"/>
      <c r="D41" s="30"/>
      <c r="E41" s="197"/>
      <c r="F41" s="198"/>
      <c r="G41" s="199"/>
      <c r="H41" s="200" t="str">
        <f t="shared" si="1"/>
        <v/>
      </c>
      <c r="I41" s="30"/>
      <c r="J41" s="30"/>
      <c r="K41" s="201" t="str">
        <f t="shared" si="2"/>
        <v/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0"/>
      <c r="B42" s="30"/>
      <c r="C42" s="30"/>
      <c r="D42" s="30"/>
      <c r="E42" s="197"/>
      <c r="F42" s="198"/>
      <c r="G42" s="199"/>
      <c r="H42" s="200" t="str">
        <f t="shared" si="1"/>
        <v/>
      </c>
      <c r="I42" s="30"/>
      <c r="J42" s="30"/>
      <c r="K42" s="201" t="str">
        <f t="shared" si="2"/>
        <v/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0"/>
      <c r="B43" s="30"/>
      <c r="C43" s="30"/>
      <c r="D43" s="30"/>
      <c r="E43" s="197"/>
      <c r="F43" s="198"/>
      <c r="G43" s="199"/>
      <c r="H43" s="200" t="str">
        <f t="shared" si="1"/>
        <v/>
      </c>
      <c r="I43" s="30"/>
      <c r="J43" s="30"/>
      <c r="K43" s="201" t="str">
        <f t="shared" si="2"/>
        <v/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0"/>
      <c r="B44" s="30"/>
      <c r="C44" s="30"/>
      <c r="D44" s="30"/>
      <c r="E44" s="197"/>
      <c r="F44" s="198"/>
      <c r="G44" s="199"/>
      <c r="H44" s="200" t="str">
        <f t="shared" si="1"/>
        <v/>
      </c>
      <c r="I44" s="30"/>
      <c r="J44" s="30"/>
      <c r="K44" s="201" t="str">
        <f t="shared" si="2"/>
        <v/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30"/>
      <c r="C45" s="30"/>
      <c r="D45" s="30"/>
      <c r="E45" s="197"/>
      <c r="F45" s="198"/>
      <c r="G45" s="199"/>
      <c r="H45" s="200" t="str">
        <f t="shared" si="1"/>
        <v/>
      </c>
      <c r="I45" s="30"/>
      <c r="J45" s="30"/>
      <c r="K45" s="201" t="str">
        <f t="shared" si="2"/>
        <v/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0"/>
      <c r="B46" s="30"/>
      <c r="C46" s="30"/>
      <c r="D46" s="30"/>
      <c r="E46" s="197"/>
      <c r="F46" s="198"/>
      <c r="G46" s="199"/>
      <c r="H46" s="200" t="str">
        <f t="shared" si="1"/>
        <v/>
      </c>
      <c r="I46" s="30"/>
      <c r="J46" s="30"/>
      <c r="K46" s="201" t="str">
        <f t="shared" si="2"/>
        <v/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30"/>
      <c r="B47" s="30"/>
      <c r="C47" s="30"/>
      <c r="D47" s="30"/>
      <c r="E47" s="197"/>
      <c r="F47" s="198"/>
      <c r="G47" s="199"/>
      <c r="H47" s="200" t="str">
        <f t="shared" si="1"/>
        <v/>
      </c>
      <c r="I47" s="30"/>
      <c r="J47" s="30"/>
      <c r="K47" s="201" t="str">
        <f t="shared" si="2"/>
        <v/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0"/>
      <c r="B48" s="30"/>
      <c r="C48" s="30"/>
      <c r="D48" s="30"/>
      <c r="E48" s="197"/>
      <c r="F48" s="198"/>
      <c r="G48" s="199"/>
      <c r="H48" s="200" t="str">
        <f t="shared" si="1"/>
        <v/>
      </c>
      <c r="I48" s="30"/>
      <c r="J48" s="30"/>
      <c r="K48" s="201" t="str">
        <f t="shared" si="2"/>
        <v/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0"/>
      <c r="B49" s="30"/>
      <c r="C49" s="30"/>
      <c r="D49" s="30"/>
      <c r="E49" s="197"/>
      <c r="F49" s="198"/>
      <c r="G49" s="199"/>
      <c r="H49" s="200" t="str">
        <f t="shared" si="1"/>
        <v/>
      </c>
      <c r="I49" s="30"/>
      <c r="J49" s="30"/>
      <c r="K49" s="201" t="str">
        <f t="shared" si="2"/>
        <v/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0"/>
      <c r="B50" s="30"/>
      <c r="C50" s="30"/>
      <c r="D50" s="30"/>
      <c r="E50" s="197"/>
      <c r="F50" s="198"/>
      <c r="G50" s="199"/>
      <c r="H50" s="200" t="str">
        <f t="shared" si="1"/>
        <v/>
      </c>
      <c r="I50" s="30"/>
      <c r="J50" s="30"/>
      <c r="K50" s="201" t="str">
        <f t="shared" si="2"/>
        <v/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0"/>
      <c r="B51" s="30"/>
      <c r="C51" s="30"/>
      <c r="D51" s="30"/>
      <c r="E51" s="197"/>
      <c r="F51" s="198"/>
      <c r="G51" s="199"/>
      <c r="H51" s="200" t="str">
        <f t="shared" si="1"/>
        <v/>
      </c>
      <c r="I51" s="30"/>
      <c r="J51" s="30"/>
      <c r="K51" s="201" t="str">
        <f t="shared" si="2"/>
        <v/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0"/>
      <c r="B52" s="30"/>
      <c r="C52" s="30"/>
      <c r="D52" s="30"/>
      <c r="E52" s="197"/>
      <c r="F52" s="198"/>
      <c r="G52" s="199"/>
      <c r="H52" s="200" t="str">
        <f t="shared" si="1"/>
        <v/>
      </c>
      <c r="I52" s="30"/>
      <c r="J52" s="30"/>
      <c r="K52" s="201" t="str">
        <f t="shared" si="2"/>
        <v/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0"/>
      <c r="B53" s="30"/>
      <c r="C53" s="30"/>
      <c r="D53" s="30"/>
      <c r="E53" s="197"/>
      <c r="F53" s="198"/>
      <c r="G53" s="199"/>
      <c r="H53" s="200" t="str">
        <f t="shared" si="1"/>
        <v/>
      </c>
      <c r="I53" s="30"/>
      <c r="J53" s="30"/>
      <c r="K53" s="201" t="str">
        <f t="shared" si="2"/>
        <v/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0"/>
      <c r="B54" s="30"/>
      <c r="C54" s="30"/>
      <c r="D54" s="30"/>
      <c r="E54" s="197"/>
      <c r="F54" s="198"/>
      <c r="G54" s="199"/>
      <c r="H54" s="200" t="str">
        <f t="shared" si="1"/>
        <v/>
      </c>
      <c r="I54" s="30"/>
      <c r="J54" s="30"/>
      <c r="K54" s="201" t="str">
        <f t="shared" si="2"/>
        <v/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/>
      <c r="B55" s="30"/>
      <c r="C55" s="30"/>
      <c r="D55" s="30"/>
      <c r="E55" s="197"/>
      <c r="F55" s="198"/>
      <c r="G55" s="199"/>
      <c r="H55" s="200" t="str">
        <f t="shared" si="1"/>
        <v/>
      </c>
      <c r="I55" s="30"/>
      <c r="J55" s="30"/>
      <c r="K55" s="201" t="str">
        <f t="shared" si="2"/>
        <v/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0"/>
      <c r="B56" s="30"/>
      <c r="C56" s="30"/>
      <c r="D56" s="30"/>
      <c r="E56" s="197"/>
      <c r="F56" s="198"/>
      <c r="G56" s="199"/>
      <c r="H56" s="200" t="str">
        <f t="shared" si="1"/>
        <v/>
      </c>
      <c r="I56" s="30"/>
      <c r="J56" s="30"/>
      <c r="K56" s="201" t="str">
        <f t="shared" si="2"/>
        <v/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/>
      <c r="B57" s="30"/>
      <c r="C57" s="30"/>
      <c r="D57" s="30"/>
      <c r="E57" s="197"/>
      <c r="F57" s="198"/>
      <c r="G57" s="199"/>
      <c r="H57" s="200" t="str">
        <f t="shared" si="1"/>
        <v/>
      </c>
      <c r="I57" s="30"/>
      <c r="J57" s="30"/>
      <c r="K57" s="201" t="str">
        <f t="shared" si="2"/>
        <v/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0"/>
      <c r="B58" s="30"/>
      <c r="C58" s="30"/>
      <c r="D58" s="30"/>
      <c r="E58" s="197"/>
      <c r="F58" s="198"/>
      <c r="G58" s="199"/>
      <c r="H58" s="200" t="str">
        <f t="shared" si="1"/>
        <v/>
      </c>
      <c r="I58" s="30"/>
      <c r="J58" s="30"/>
      <c r="K58" s="201" t="str">
        <f t="shared" si="2"/>
        <v/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30"/>
      <c r="B59" s="30"/>
      <c r="C59" s="30"/>
      <c r="D59" s="30"/>
      <c r="E59" s="197"/>
      <c r="F59" s="198"/>
      <c r="G59" s="199"/>
      <c r="H59" s="200" t="str">
        <f t="shared" si="1"/>
        <v/>
      </c>
      <c r="I59" s="30"/>
      <c r="J59" s="30"/>
      <c r="K59" s="201" t="str">
        <f t="shared" si="2"/>
        <v/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0"/>
      <c r="B60" s="30"/>
      <c r="C60" s="30"/>
      <c r="D60" s="30"/>
      <c r="E60" s="197"/>
      <c r="F60" s="198"/>
      <c r="G60" s="199"/>
      <c r="H60" s="200" t="str">
        <f t="shared" si="1"/>
        <v/>
      </c>
      <c r="I60" s="30"/>
      <c r="J60" s="30"/>
      <c r="K60" s="201" t="str">
        <f t="shared" si="2"/>
        <v/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3"/>
      <c r="B61" s="203"/>
      <c r="C61" s="203"/>
      <c r="D61" s="203"/>
      <c r="E61" s="204"/>
      <c r="F61" s="205"/>
      <c r="G61" s="206"/>
      <c r="H61" s="207" t="str">
        <f t="shared" si="1"/>
        <v/>
      </c>
      <c r="I61" s="203"/>
      <c r="J61" s="203"/>
      <c r="K61" s="208" t="str">
        <f t="shared" si="2"/>
        <v/>
      </c>
    </row>
    <row r="62" ht="15.75" customHeight="1">
      <c r="A62" s="203"/>
      <c r="B62" s="203"/>
      <c r="C62" s="203"/>
      <c r="D62" s="203"/>
      <c r="E62" s="204"/>
      <c r="F62" s="205"/>
      <c r="G62" s="206"/>
      <c r="H62" s="207" t="str">
        <f t="shared" si="1"/>
        <v/>
      </c>
      <c r="I62" s="203"/>
      <c r="J62" s="203"/>
      <c r="K62" s="208" t="str">
        <f t="shared" si="2"/>
        <v/>
      </c>
    </row>
    <row r="63" ht="15.75" customHeight="1">
      <c r="A63" s="203"/>
      <c r="B63" s="203"/>
      <c r="C63" s="203"/>
      <c r="D63" s="203"/>
      <c r="E63" s="204"/>
      <c r="F63" s="205"/>
      <c r="G63" s="206"/>
      <c r="H63" s="207" t="str">
        <f t="shared" si="1"/>
        <v/>
      </c>
      <c r="I63" s="203"/>
      <c r="J63" s="203"/>
      <c r="K63" s="208" t="str">
        <f t="shared" si="2"/>
        <v/>
      </c>
    </row>
    <row r="64" ht="15.75" customHeight="1">
      <c r="A64" s="203"/>
      <c r="B64" s="203"/>
      <c r="C64" s="203"/>
      <c r="D64" s="203"/>
      <c r="E64" s="204"/>
      <c r="F64" s="205"/>
      <c r="G64" s="206"/>
      <c r="H64" s="207" t="str">
        <f t="shared" si="1"/>
        <v/>
      </c>
      <c r="I64" s="203"/>
      <c r="J64" s="203"/>
      <c r="K64" s="208" t="str">
        <f t="shared" si="2"/>
        <v/>
      </c>
    </row>
    <row r="65" ht="15.75" customHeight="1">
      <c r="A65" s="203"/>
      <c r="B65" s="203"/>
      <c r="C65" s="203"/>
      <c r="D65" s="203"/>
      <c r="E65" s="204"/>
      <c r="F65" s="205"/>
      <c r="G65" s="206"/>
      <c r="H65" s="207" t="str">
        <f t="shared" si="1"/>
        <v/>
      </c>
      <c r="I65" s="203"/>
      <c r="J65" s="203"/>
      <c r="K65" s="208" t="str">
        <f t="shared" si="2"/>
        <v/>
      </c>
    </row>
    <row r="66" ht="15.75" customHeight="1">
      <c r="A66" s="203"/>
      <c r="B66" s="203"/>
      <c r="C66" s="203"/>
      <c r="D66" s="203"/>
      <c r="E66" s="204"/>
      <c r="F66" s="205"/>
      <c r="G66" s="206"/>
      <c r="H66" s="207" t="str">
        <f t="shared" si="1"/>
        <v/>
      </c>
      <c r="I66" s="203"/>
      <c r="J66" s="203"/>
      <c r="K66" s="208" t="str">
        <f t="shared" si="2"/>
        <v/>
      </c>
    </row>
    <row r="67" ht="15.75" customHeight="1">
      <c r="A67" s="203"/>
      <c r="B67" s="203"/>
      <c r="C67" s="203"/>
      <c r="D67" s="203"/>
      <c r="E67" s="204"/>
      <c r="F67" s="205"/>
      <c r="G67" s="206"/>
      <c r="H67" s="207" t="str">
        <f t="shared" si="1"/>
        <v/>
      </c>
      <c r="I67" s="203"/>
      <c r="J67" s="203"/>
      <c r="K67" s="208" t="str">
        <f t="shared" si="2"/>
        <v/>
      </c>
    </row>
    <row r="68" ht="15.75" customHeight="1">
      <c r="A68" s="203"/>
      <c r="B68" s="203"/>
      <c r="C68" s="203"/>
      <c r="D68" s="203"/>
      <c r="E68" s="204"/>
      <c r="F68" s="205"/>
      <c r="G68" s="206"/>
      <c r="H68" s="207" t="str">
        <f t="shared" si="1"/>
        <v/>
      </c>
      <c r="I68" s="203"/>
      <c r="J68" s="203"/>
      <c r="K68" s="208" t="str">
        <f t="shared" si="2"/>
        <v/>
      </c>
    </row>
    <row r="69" ht="15.75" customHeight="1">
      <c r="A69" s="203"/>
      <c r="B69" s="203"/>
      <c r="C69" s="203"/>
      <c r="D69" s="203"/>
      <c r="E69" s="204"/>
      <c r="F69" s="205"/>
      <c r="G69" s="206"/>
      <c r="H69" s="207" t="str">
        <f t="shared" si="1"/>
        <v/>
      </c>
      <c r="I69" s="203"/>
      <c r="J69" s="203"/>
      <c r="K69" s="208" t="str">
        <f t="shared" si="2"/>
        <v/>
      </c>
    </row>
    <row r="70" ht="15.75" customHeight="1">
      <c r="A70" s="203"/>
      <c r="B70" s="203"/>
      <c r="C70" s="203"/>
      <c r="D70" s="203"/>
      <c r="E70" s="204"/>
      <c r="F70" s="205"/>
      <c r="G70" s="206"/>
      <c r="H70" s="207" t="str">
        <f t="shared" si="1"/>
        <v/>
      </c>
      <c r="I70" s="203"/>
      <c r="J70" s="203"/>
      <c r="K70" s="208" t="str">
        <f t="shared" si="2"/>
        <v/>
      </c>
    </row>
    <row r="71" ht="15.75" customHeight="1">
      <c r="A71" s="203"/>
      <c r="B71" s="203"/>
      <c r="C71" s="203"/>
      <c r="D71" s="203"/>
      <c r="E71" s="204"/>
      <c r="F71" s="205"/>
      <c r="G71" s="206"/>
      <c r="H71" s="207" t="str">
        <f t="shared" si="1"/>
        <v/>
      </c>
      <c r="I71" s="203"/>
      <c r="J71" s="203"/>
      <c r="K71" s="208" t="str">
        <f t="shared" si="2"/>
        <v/>
      </c>
    </row>
    <row r="72" ht="15.75" customHeight="1">
      <c r="A72" s="203"/>
      <c r="B72" s="203"/>
      <c r="C72" s="203"/>
      <c r="D72" s="203"/>
      <c r="E72" s="204"/>
      <c r="F72" s="205"/>
      <c r="G72" s="206"/>
      <c r="H72" s="207" t="str">
        <f t="shared" si="1"/>
        <v/>
      </c>
      <c r="I72" s="203"/>
      <c r="J72" s="203"/>
      <c r="K72" s="208" t="str">
        <f t="shared" si="2"/>
        <v/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G1:K1"/>
  </mergeCells>
  <conditionalFormatting sqref="H23:H72">
    <cfRule type="expression" dxfId="10" priority="1" stopIfTrue="1">
      <formula>AND($D23&lt;&gt;"Hoàn thành",ISNUMBER($H23),$H23&lt;=2,$H23&gt;=0)</formula>
    </cfRule>
  </conditionalFormatting>
  <conditionalFormatting sqref="A23:K72">
    <cfRule type="expression" dxfId="11" priority="2" stopIfTrue="1">
      <formula>$D23="Hoàn thành"</formula>
    </cfRule>
  </conditionalFormatting>
  <conditionalFormatting sqref="A23:K35">
    <cfRule type="expression" dxfId="12" priority="3" stopIfTrue="1">
      <formula>AND($D23&lt;&gt;"Hoàn thành",$G23&lt;&gt;"",ISNUMBER($H23),$H23&lt;=2,$H23&gt;=0)</formula>
    </cfRule>
  </conditionalFormatting>
  <conditionalFormatting sqref="A23:K72">
    <cfRule type="expression" dxfId="13" priority="4" stopIfTrue="1">
      <formula>AND($D23&lt;&gt;"Hoàn thành",$G23&lt;&gt;"",ISNUMBER($H23),$H23&lt;0)</formula>
    </cfRule>
  </conditionalFormatting>
  <conditionalFormatting sqref="A23:K72">
    <cfRule type="expression" dxfId="14" priority="5" stopIfTrue="1">
      <formula>AND($D23&lt;&gt;"Hoàn thành",$G23&lt;&gt;"",ISNUMBER($H23),$H23&lt;=3,$H23&gt;=0)</formula>
    </cfRule>
  </conditionalFormatting>
  <conditionalFormatting sqref="H23:H72">
    <cfRule type="expression" dxfId="15" priority="6">
      <formula>AND(ISNUMBER($H23),$H23&lt;0)</formula>
    </cfRule>
  </conditionalFormatting>
  <conditionalFormatting sqref="D23:D72">
    <cfRule type="expression" dxfId="8" priority="7">
      <formula>$D23="Đang làm"</formula>
    </cfRule>
  </conditionalFormatting>
  <conditionalFormatting sqref="D23:D72">
    <cfRule type="expression" dxfId="9" priority="8">
      <formula>$D23="Chưa bắt đầu"</formula>
    </cfRule>
  </conditionalFormatting>
  <conditionalFormatting sqref="D23:D72">
    <cfRule type="expression" dxfId="3" priority="9">
      <formula>$D23="Hoàn thành"</formula>
    </cfRule>
  </conditionalFormatting>
  <dataValidations>
    <dataValidation type="list" allowBlank="1" sqref="D23:D35">
      <formula1>"Hoàn thành,Đang làm,Chưa bắt đầu"</formula1>
    </dataValidation>
    <dataValidation type="list" allowBlank="1" sqref="D36:D72">
      <formula1>"Chưa bắt đầu,Đang làm,Hoàn thành"</formula1>
    </dataValidation>
    <dataValidation type="list" allowBlank="1" sqref="C23:C72">
      <formula1>"Bài tập,Kiểm tra,Dự án"</formula1>
    </dataValidation>
    <dataValidation type="list" allowBlank="1" sqref="A23:A72">
      <formula1>'Thông tin lớp học'!$A$10:$A$15</formula1>
    </dataValidation>
    <dataValidation type="list" allowBlank="1" sqref="J23:J72">
      <formula1>"A,A-,B+,B,B-,C+,C,D,F"</formula1>
    </dataValidation>
  </dataValidations>
  <hyperlinks>
    <hyperlink display="⌂ Về Dashboard" location="Dashboard!A1" ref="G1"/>
  </hyperlink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8" width="21.0"/>
    <col customWidth="1" min="9" max="26" width="8.71"/>
  </cols>
  <sheetData>
    <row r="1" ht="30.0" customHeight="1">
      <c r="A1" s="7"/>
      <c r="B1" s="209" t="s">
        <v>265</v>
      </c>
      <c r="C1" s="3"/>
      <c r="D1" s="3"/>
      <c r="E1" s="3"/>
      <c r="F1" s="3"/>
      <c r="G1" s="3"/>
      <c r="H1" s="210" t="s">
        <v>2</v>
      </c>
      <c r="I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12" t="s">
        <v>266</v>
      </c>
      <c r="C3" s="211">
        <f>YEAR(TODAY())</f>
        <v>2026</v>
      </c>
      <c r="D3" s="12" t="s">
        <v>267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2" t="s">
        <v>268</v>
      </c>
      <c r="C4" s="211">
        <f>MONTH(TODAY())</f>
        <v>10</v>
      </c>
      <c r="D4" s="21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213" t="str">
        <f>"THÁNG "&amp;C4&amp;" / "&amp;C3</f>
        <v>THÁNG 10 / 2026</v>
      </c>
      <c r="C5" s="3"/>
      <c r="D5" s="3"/>
      <c r="E5" s="3"/>
      <c r="F5" s="3"/>
      <c r="G5" s="3"/>
      <c r="H5" s="21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1.75" customHeight="1">
      <c r="A6" s="7"/>
      <c r="B6" s="28" t="s">
        <v>43</v>
      </c>
      <c r="C6" s="28" t="s">
        <v>57</v>
      </c>
      <c r="D6" s="28" t="s">
        <v>62</v>
      </c>
      <c r="E6" s="28" t="s">
        <v>74</v>
      </c>
      <c r="F6" s="28" t="s">
        <v>75</v>
      </c>
      <c r="G6" s="28" t="s">
        <v>156</v>
      </c>
      <c r="H6" s="28" t="s">
        <v>157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215">
        <f>DATE($C$3,$C$4,1)-WEEKDAY(DATE($C$3,$C$4,1),2)+1</f>
        <v>46293</v>
      </c>
      <c r="C7" s="215">
        <f t="shared" ref="C7:H7" si="1">B7+1</f>
        <v>46294</v>
      </c>
      <c r="D7" s="215">
        <f t="shared" si="1"/>
        <v>46295</v>
      </c>
      <c r="E7" s="215">
        <f t="shared" si="1"/>
        <v>46296</v>
      </c>
      <c r="F7" s="215">
        <f t="shared" si="1"/>
        <v>46297</v>
      </c>
      <c r="G7" s="215">
        <f t="shared" si="1"/>
        <v>46298</v>
      </c>
      <c r="H7" s="215">
        <f t="shared" si="1"/>
        <v>46299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57.75" customHeight="1">
      <c r="A8" s="7"/>
      <c r="B8" s="218" t="str">
        <f t="array" ref="B8">IFERROR(INDEX('Bảng theo dõi bài tập'!$A$23:$A$72,MATCH(B7,'Bảng theo dõi bài tập'!$G$23:$G$72,0))&amp;": "&amp;INDEX('Bảng theo dõi bài tập'!$B$23:$B$72,MATCH(B7,'Bảng theo dõi bài tập'!$G$23:$G$72,0))&amp;IF(COUNTIF('Bảng theo dõi bài tập'!$G$23:$G$72,B7)&gt;1," (+"&amp;(COUNTIF('Bảng theo dõi bài tập'!$G$23:$G$72,B7)-1)&amp;" việc khác)",""),"")</f>
        <v/>
      </c>
      <c r="C8" s="218" t="str">
        <f t="array" ref="C8">IFERROR(INDEX('Bảng theo dõi bài tập'!$A$23:$A$72,MATCH(C7,'Bảng theo dõi bài tập'!$G$23:$G$72,0))&amp;": "&amp;INDEX('Bảng theo dõi bài tập'!$B$23:$B$72,MATCH(C7,'Bảng theo dõi bài tập'!$G$23:$G$72,0))&amp;IF(COUNTIF('Bảng theo dõi bài tập'!$G$23:$G$72,C7)&gt;1," (+"&amp;(COUNTIF('Bảng theo dõi bài tập'!$G$23:$G$72,C7)-1)&amp;" việc khác)",""),"")</f>
        <v/>
      </c>
      <c r="D8" s="218" t="str">
        <f t="array" ref="D8">IFERROR(INDEX('Bảng theo dõi bài tập'!$A$23:$A$72,MATCH(D7,'Bảng theo dõi bài tập'!$G$23:$G$72,0))&amp;": "&amp;INDEX('Bảng theo dõi bài tập'!$B$23:$B$72,MATCH(D7,'Bảng theo dõi bài tập'!$G$23:$G$72,0))&amp;IF(COUNTIF('Bảng theo dõi bài tập'!$G$23:$G$72,D7)&gt;1," (+"&amp;(COUNTIF('Bảng theo dõi bài tập'!$G$23:$G$72,D7)-1)&amp;" việc khác)",""),"")</f>
        <v/>
      </c>
      <c r="E8" s="218" t="str">
        <f t="array" ref="E8">IFERROR(INDEX('Bảng theo dõi bài tập'!$A$23:$A$72,MATCH(E7,'Bảng theo dõi bài tập'!$G$23:$G$72,0))&amp;": "&amp;INDEX('Bảng theo dõi bài tập'!$B$23:$B$72,MATCH(E7,'Bảng theo dõi bài tập'!$G$23:$G$72,0))&amp;IF(COUNTIF('Bảng theo dõi bài tập'!$G$23:$G$72,E7)&gt;1," (+"&amp;(COUNTIF('Bảng theo dõi bài tập'!$G$23:$G$72,E7)-1)&amp;" việc khác)",""),"")</f>
        <v/>
      </c>
      <c r="F8" s="218" t="str">
        <f t="array" ref="F8">IFERROR(INDEX('Bảng theo dõi bài tập'!$A$23:$A$72,MATCH(F7,'Bảng theo dõi bài tập'!$G$23:$G$72,0))&amp;": "&amp;INDEX('Bảng theo dõi bài tập'!$B$23:$B$72,MATCH(F7,'Bảng theo dõi bài tập'!$G$23:$G$72,0))&amp;IF(COUNTIF('Bảng theo dõi bài tập'!$G$23:$G$72,F7)&gt;1," (+"&amp;(COUNTIF('Bảng theo dõi bài tập'!$G$23:$G$72,F7)-1)&amp;" việc khác)",""),"")</f>
        <v>Toán cao cấp: Bài tập chương 2</v>
      </c>
      <c r="G8" s="218" t="str">
        <f t="array" ref="G8">IFERROR(INDEX('Bảng theo dõi bài tập'!$A$23:$A$72,MATCH(G7,'Bảng theo dõi bài tập'!$G$23:$G$72,0))&amp;": "&amp;INDEX('Bảng theo dõi bài tập'!$B$23:$B$72,MATCH(G7,'Bảng theo dõi bài tập'!$G$23:$G$72,0))&amp;IF(COUNTIF('Bảng theo dõi bài tập'!$G$23:$G$72,G7)&gt;1," (+"&amp;(COUNTIF('Bảng theo dõi bài tập'!$G$23:$G$72,G7)-1)&amp;" việc khác)",""),"")</f>
        <v/>
      </c>
      <c r="H8" s="218" t="str">
        <f t="array" ref="H8">IFERROR(INDEX('Bảng theo dõi bài tập'!$A$23:$A$72,MATCH(H7,'Bảng theo dõi bài tập'!$G$23:$G$72,0))&amp;": "&amp;INDEX('Bảng theo dõi bài tập'!$B$23:$B$72,MATCH(H7,'Bảng theo dõi bài tập'!$G$23:$G$72,0))&amp;IF(COUNTIF('Bảng theo dõi bài tập'!$G$23:$G$72,H7)&gt;1," (+"&amp;(COUNTIF('Bảng theo dõi bài tập'!$G$23:$G$72,H7)-1)&amp;" việc khác)",""),"")</f>
        <v/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215">
        <f>B7+7</f>
        <v>46300</v>
      </c>
      <c r="C9" s="215">
        <f t="shared" ref="C9:H9" si="2">B9+1</f>
        <v>46301</v>
      </c>
      <c r="D9" s="215">
        <f t="shared" si="2"/>
        <v>46302</v>
      </c>
      <c r="E9" s="215">
        <f t="shared" si="2"/>
        <v>46303</v>
      </c>
      <c r="F9" s="215">
        <f t="shared" si="2"/>
        <v>46304</v>
      </c>
      <c r="G9" s="215">
        <f t="shared" si="2"/>
        <v>46305</v>
      </c>
      <c r="H9" s="215">
        <f t="shared" si="2"/>
        <v>46306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57.75" customHeight="1">
      <c r="A10" s="7"/>
      <c r="B10" s="218" t="str">
        <f t="array" ref="B10">IFERROR(INDEX('Bảng theo dõi bài tập'!$A$23:$A$72,MATCH(B9,'Bảng theo dõi bài tập'!$G$23:$G$72,0))&amp;": "&amp;INDEX('Bảng theo dõi bài tập'!$B$23:$B$72,MATCH(B9,'Bảng theo dõi bài tập'!$G$23:$G$72,0))&amp;IF(COUNTIF('Bảng theo dõi bài tập'!$G$23:$G$72,B9)&gt;1," (+"&amp;(COUNTIF('Bảng theo dõi bài tập'!$G$23:$G$72,B9)-1)&amp;" việc khác)",""),"")</f>
        <v>Tâm lý học: Bài tập trắc nghiệm nhận thức (+1 việc khác)</v>
      </c>
      <c r="C10" s="218" t="str">
        <f t="array" ref="C10">IFERROR(INDEX('Bảng theo dõi bài tập'!$A$23:$A$72,MATCH(C9,'Bảng theo dõi bài tập'!$G$23:$G$72,0))&amp;": "&amp;INDEX('Bảng theo dõi bài tập'!$B$23:$B$72,MATCH(C9,'Bảng theo dõi bài tập'!$G$23:$G$72,0))&amp;IF(COUNTIF('Bảng theo dõi bài tập'!$G$23:$G$72,C9)&gt;1," (+"&amp;(COUNTIF('Bảng theo dõi bài tập'!$G$23:$G$72,C9)-1)&amp;" việc khác)",""),"")</f>
        <v/>
      </c>
      <c r="D10" s="218" t="str">
        <f t="array" ref="D10">IFERROR(INDEX('Bảng theo dõi bài tập'!$A$23:$A$72,MATCH(D9,'Bảng theo dõi bài tập'!$G$23:$G$72,0))&amp;": "&amp;INDEX('Bảng theo dõi bài tập'!$B$23:$B$72,MATCH(D9,'Bảng theo dõi bài tập'!$G$23:$G$72,0))&amp;IF(COUNTIF('Bảng theo dõi bài tập'!$G$23:$G$72,D9)&gt;1," (+"&amp;(COUNTIF('Bảng theo dõi bài tập'!$G$23:$G$72,D9)-1)&amp;" việc khác)",""),"")</f>
        <v>Toán cao cấp: Kiểm tra giữa kỳ tích phân</v>
      </c>
      <c r="E10" s="218" t="str">
        <f t="array" ref="E10">IFERROR(INDEX('Bảng theo dõi bài tập'!$A$23:$A$72,MATCH(E9,'Bảng theo dõi bài tập'!$G$23:$G$72,0))&amp;": "&amp;INDEX('Bảng theo dõi bài tập'!$B$23:$B$72,MATCH(E9,'Bảng theo dõi bài tập'!$G$23:$G$72,0))&amp;IF(COUNTIF('Bảng theo dõi bài tập'!$G$23:$G$72,E9)&gt;1," (+"&amp;(COUNTIF('Bảng theo dõi bài tập'!$G$23:$G$72,E9)-1)&amp;" việc khác)",""),"")</f>
        <v/>
      </c>
      <c r="F10" s="218" t="str">
        <f t="array" ref="F10">IFERROR(INDEX('Bảng theo dõi bài tập'!$A$23:$A$72,MATCH(F9,'Bảng theo dõi bài tập'!$G$23:$G$72,0))&amp;": "&amp;INDEX('Bảng theo dõi bài tập'!$B$23:$B$72,MATCH(F9,'Bảng theo dõi bài tập'!$G$23:$G$72,0))&amp;IF(COUNTIF('Bảng theo dõi bài tập'!$G$23:$G$72,F9)&gt;1," (+"&amp;(COUNTIF('Bảng theo dõi bài tập'!$G$23:$G$72,F9)-1)&amp;" việc khác)",""),"")</f>
        <v>Tiếng Anh giao tiếp: Bài tập viết thư thương mại</v>
      </c>
      <c r="G10" s="218" t="str">
        <f t="array" ref="G10">IFERROR(INDEX('Bảng theo dõi bài tập'!$A$23:$A$72,MATCH(G9,'Bảng theo dõi bài tập'!$G$23:$G$72,0))&amp;": "&amp;INDEX('Bảng theo dõi bài tập'!$B$23:$B$72,MATCH(G9,'Bảng theo dõi bài tập'!$G$23:$G$72,0))&amp;IF(COUNTIF('Bảng theo dõi bài tập'!$G$23:$G$72,G9)&gt;1," (+"&amp;(COUNTIF('Bảng theo dõi bài tập'!$G$23:$G$72,G9)-1)&amp;" việc khác)",""),"")</f>
        <v/>
      </c>
      <c r="H10" s="218" t="str">
        <f t="array" ref="H10">IFERROR(INDEX('Bảng theo dõi bài tập'!$A$23:$A$72,MATCH(H9,'Bảng theo dõi bài tập'!$G$23:$G$72,0))&amp;": "&amp;INDEX('Bảng theo dõi bài tập'!$B$23:$B$72,MATCH(H9,'Bảng theo dõi bài tập'!$G$23:$G$72,0))&amp;IF(COUNTIF('Bảng theo dõi bài tập'!$G$23:$G$72,H9)&gt;1," (+"&amp;(COUNTIF('Bảng theo dõi bài tập'!$G$23:$G$72,H9)-1)&amp;" việc khác)",""),"")</f>
        <v/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215">
        <f>B9+7</f>
        <v>46307</v>
      </c>
      <c r="C11" s="215">
        <f t="shared" ref="C11:H11" si="3">B11+1</f>
        <v>46308</v>
      </c>
      <c r="D11" s="215">
        <f t="shared" si="3"/>
        <v>46309</v>
      </c>
      <c r="E11" s="215">
        <f t="shared" si="3"/>
        <v>46310</v>
      </c>
      <c r="F11" s="215">
        <f t="shared" si="3"/>
        <v>46311</v>
      </c>
      <c r="G11" s="215">
        <f t="shared" si="3"/>
        <v>46312</v>
      </c>
      <c r="H11" s="215">
        <f t="shared" si="3"/>
        <v>46313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57.75" customHeight="1">
      <c r="A12" s="7"/>
      <c r="B12" s="218" t="str">
        <f t="array" ref="B12">IFERROR(INDEX('Bảng theo dõi bài tập'!$A$23:$A$72,MATCH(B11,'Bảng theo dõi bài tập'!$G$23:$G$72,0))&amp;": "&amp;INDEX('Bảng theo dõi bài tập'!$B$23:$B$72,MATCH(B11,'Bảng theo dõi bài tập'!$G$23:$G$72,0))&amp;IF(COUNTIF('Bảng theo dõi bài tập'!$G$23:$G$72,B11)&gt;1," (+"&amp;(COUNTIF('Bảng theo dõi bài tập'!$G$23:$G$72,B11)-1)&amp;" việc khác)",""),"")</f>
        <v>Lập trình C++: Dự án quản lý sinh viên</v>
      </c>
      <c r="C12" s="218" t="str">
        <f t="array" ref="C12">IFERROR(INDEX('Bảng theo dõi bài tập'!$A$23:$A$72,MATCH(C11,'Bảng theo dõi bài tập'!$G$23:$G$72,0))&amp;": "&amp;INDEX('Bảng theo dõi bài tập'!$B$23:$B$72,MATCH(C11,'Bảng theo dõi bài tập'!$G$23:$G$72,0))&amp;IF(COUNTIF('Bảng theo dõi bài tập'!$G$23:$G$72,C11)&gt;1," (+"&amp;(COUNTIF('Bảng theo dõi bài tập'!$G$23:$G$72,C11)-1)&amp;" việc khác)",""),"")</f>
        <v/>
      </c>
      <c r="D12" s="218" t="str">
        <f t="array" ref="D12">IFERROR(INDEX('Bảng theo dõi bài tập'!$A$23:$A$72,MATCH(D11,'Bảng theo dõi bài tập'!$G$23:$G$72,0))&amp;": "&amp;INDEX('Bảng theo dõi bài tập'!$B$23:$B$72,MATCH(D11,'Bảng theo dõi bài tập'!$G$23:$G$72,0))&amp;IF(COUNTIF('Bảng theo dõi bài tập'!$G$23:$G$72,D11)&gt;1," (+"&amp;(COUNTIF('Bảng theo dõi bài tập'!$G$23:$G$72,D11)-1)&amp;" việc khác)",""),"")</f>
        <v>Triết học Mác-Lênin: Kiểm tra trắc nghiệm chương 2</v>
      </c>
      <c r="E12" s="218" t="str">
        <f t="array" ref="E12">IFERROR(INDEX('Bảng theo dõi bài tập'!$A$23:$A$72,MATCH(E11,'Bảng theo dõi bài tập'!$G$23:$G$72,0))&amp;": "&amp;INDEX('Bảng theo dõi bài tập'!$B$23:$B$72,MATCH(E11,'Bảng theo dõi bài tập'!$G$23:$G$72,0))&amp;IF(COUNTIF('Bảng theo dõi bài tập'!$G$23:$G$72,E11)&gt;1," (+"&amp;(COUNTIF('Bảng theo dõi bài tập'!$G$23:$G$72,E11)-1)&amp;" việc khác)",""),"")</f>
        <v/>
      </c>
      <c r="F12" s="218" t="str">
        <f t="array" ref="F12">IFERROR(INDEX('Bảng theo dõi bài tập'!$A$23:$A$72,MATCH(F11,'Bảng theo dõi bài tập'!$G$23:$G$72,0))&amp;": "&amp;INDEX('Bảng theo dõi bài tập'!$B$23:$B$72,MATCH(F11,'Bảng theo dõi bài tập'!$G$23:$G$72,0))&amp;IF(COUNTIF('Bảng theo dõi bài tập'!$G$23:$G$72,F11)&gt;1," (+"&amp;(COUNTIF('Bảng theo dõi bài tập'!$G$23:$G$72,F11)-1)&amp;" việc khác)",""),"")</f>
        <v/>
      </c>
      <c r="G12" s="218" t="str">
        <f t="array" ref="G12">IFERROR(INDEX('Bảng theo dõi bài tập'!$A$23:$A$72,MATCH(G11,'Bảng theo dõi bài tập'!$G$23:$G$72,0))&amp;": "&amp;INDEX('Bảng theo dõi bài tập'!$B$23:$B$72,MATCH(G11,'Bảng theo dõi bài tập'!$G$23:$G$72,0))&amp;IF(COUNTIF('Bảng theo dõi bài tập'!$G$23:$G$72,G11)&gt;1," (+"&amp;(COUNTIF('Bảng theo dõi bài tập'!$G$23:$G$72,G11)-1)&amp;" việc khác)",""),"")</f>
        <v/>
      </c>
      <c r="H12" s="218" t="str">
        <f t="array" ref="H12">IFERROR(INDEX('Bảng theo dõi bài tập'!$A$23:$A$72,MATCH(H11,'Bảng theo dõi bài tập'!$G$23:$G$72,0))&amp;": "&amp;INDEX('Bảng theo dõi bài tập'!$B$23:$B$72,MATCH(H11,'Bảng theo dõi bài tập'!$G$23:$G$72,0))&amp;IF(COUNTIF('Bảng theo dõi bài tập'!$G$23:$G$72,H11)&gt;1," (+"&amp;(COUNTIF('Bảng theo dõi bài tập'!$G$23:$G$72,H11)-1)&amp;" việc khác)",""),"")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215">
        <f>B11+7</f>
        <v>46314</v>
      </c>
      <c r="C13" s="215">
        <f t="shared" ref="C13:H13" si="4">B13+1</f>
        <v>46315</v>
      </c>
      <c r="D13" s="215">
        <f t="shared" si="4"/>
        <v>46316</v>
      </c>
      <c r="E13" s="215">
        <f t="shared" si="4"/>
        <v>46317</v>
      </c>
      <c r="F13" s="215">
        <f t="shared" si="4"/>
        <v>46318</v>
      </c>
      <c r="G13" s="215">
        <f t="shared" si="4"/>
        <v>46319</v>
      </c>
      <c r="H13" s="215">
        <f t="shared" si="4"/>
        <v>46320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57.75" customHeight="1">
      <c r="A14" s="7"/>
      <c r="B14" s="218" t="str">
        <f t="array" ref="B14">IFERROR(INDEX('Bảng theo dõi bài tập'!$A$23:$A$72,MATCH(B13,'Bảng theo dõi bài tập'!$G$23:$G$72,0))&amp;": "&amp;INDEX('Bảng theo dõi bài tập'!$B$23:$B$72,MATCH(B13,'Bảng theo dõi bài tập'!$G$23:$G$72,0))&amp;IF(COUNTIF('Bảng theo dõi bài tập'!$G$23:$G$72,B13)&gt;1," (+"&amp;(COUNTIF('Bảng theo dõi bài tập'!$G$23:$G$72,B13)-1)&amp;" việc khác)",""),"")</f>
        <v/>
      </c>
      <c r="C14" s="218" t="str">
        <f t="array" ref="C14">IFERROR(INDEX('Bảng theo dõi bài tập'!$A$23:$A$72,MATCH(C13,'Bảng theo dõi bài tập'!$G$23:$G$72,0))&amp;": "&amp;INDEX('Bảng theo dõi bài tập'!$B$23:$B$72,MATCH(C13,'Bảng theo dõi bài tập'!$G$23:$G$72,0))&amp;IF(COUNTIF('Bảng theo dõi bài tập'!$G$23:$G$72,C13)&gt;1," (+"&amp;(COUNTIF('Bảng theo dõi bài tập'!$G$23:$G$72,C13)-1)&amp;" việc khác)",""),"")</f>
        <v>Kỹ năng mềm: Dự án kế hoạch phát triển cá nhân</v>
      </c>
      <c r="D14" s="218" t="str">
        <f t="array" ref="D14">IFERROR(INDEX('Bảng theo dõi bài tập'!$A$23:$A$72,MATCH(D13,'Bảng theo dõi bài tập'!$G$23:$G$72,0))&amp;": "&amp;INDEX('Bảng theo dõi bài tập'!$B$23:$B$72,MATCH(D13,'Bảng theo dõi bài tập'!$G$23:$G$72,0))&amp;IF(COUNTIF('Bảng theo dõi bài tập'!$G$23:$G$72,D13)&gt;1," (+"&amp;(COUNTIF('Bảng theo dõi bài tập'!$G$23:$G$72,D13)-1)&amp;" việc khác)",""),"")</f>
        <v/>
      </c>
      <c r="E14" s="218" t="str">
        <f t="array" ref="E14">IFERROR(INDEX('Bảng theo dõi bài tập'!$A$23:$A$72,MATCH(E13,'Bảng theo dõi bài tập'!$G$23:$G$72,0))&amp;": "&amp;INDEX('Bảng theo dõi bài tập'!$B$23:$B$72,MATCH(E13,'Bảng theo dõi bài tập'!$G$23:$G$72,0))&amp;IF(COUNTIF('Bảng theo dõi bài tập'!$G$23:$G$72,E13)&gt;1," (+"&amp;(COUNTIF('Bảng theo dõi bài tập'!$G$23:$G$72,E13)-1)&amp;" việc khác)",""),"")</f>
        <v/>
      </c>
      <c r="F14" s="218" t="str">
        <f t="array" ref="F14">IFERROR(INDEX('Bảng theo dõi bài tập'!$A$23:$A$72,MATCH(F13,'Bảng theo dõi bài tập'!$G$23:$G$72,0))&amp;": "&amp;INDEX('Bảng theo dõi bài tập'!$B$23:$B$72,MATCH(F13,'Bảng theo dõi bài tập'!$G$23:$G$72,0))&amp;IF(COUNTIF('Bảng theo dõi bài tập'!$G$23:$G$72,F13)&gt;1," (+"&amp;(COUNTIF('Bảng theo dõi bài tập'!$G$23:$G$72,F13)-1)&amp;" việc khác)",""),"")</f>
        <v/>
      </c>
      <c r="G14" s="218" t="str">
        <f t="array" ref="G14">IFERROR(INDEX('Bảng theo dõi bài tập'!$A$23:$A$72,MATCH(G13,'Bảng theo dõi bài tập'!$G$23:$G$72,0))&amp;": "&amp;INDEX('Bảng theo dõi bài tập'!$B$23:$B$72,MATCH(G13,'Bảng theo dõi bài tập'!$G$23:$G$72,0))&amp;IF(COUNTIF('Bảng theo dõi bài tập'!$G$23:$G$72,G13)&gt;1," (+"&amp;(COUNTIF('Bảng theo dõi bài tập'!$G$23:$G$72,G13)-1)&amp;" việc khác)",""),"")</f>
        <v/>
      </c>
      <c r="H14" s="218" t="str">
        <f t="array" ref="H14">IFERROR(INDEX('Bảng theo dõi bài tập'!$A$23:$A$72,MATCH(H13,'Bảng theo dõi bài tập'!$G$23:$G$72,0))&amp;": "&amp;INDEX('Bảng theo dõi bài tập'!$B$23:$B$72,MATCH(H13,'Bảng theo dõi bài tập'!$G$23:$G$72,0))&amp;IF(COUNTIF('Bảng theo dõi bài tập'!$G$23:$G$72,H13)&gt;1," (+"&amp;(COUNTIF('Bảng theo dõi bài tập'!$G$23:$G$72,H13)-1)&amp;" việc khác)",""),"")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215">
        <f>B13+7</f>
        <v>46321</v>
      </c>
      <c r="C15" s="215">
        <f t="shared" ref="C15:H15" si="5">B15+1</f>
        <v>46322</v>
      </c>
      <c r="D15" s="215">
        <f t="shared" si="5"/>
        <v>46323</v>
      </c>
      <c r="E15" s="215">
        <f t="shared" si="5"/>
        <v>46324</v>
      </c>
      <c r="F15" s="215">
        <f t="shared" si="5"/>
        <v>46325</v>
      </c>
      <c r="G15" s="215">
        <f t="shared" si="5"/>
        <v>46326</v>
      </c>
      <c r="H15" s="215">
        <f t="shared" si="5"/>
        <v>46327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57.75" customHeight="1">
      <c r="A16" s="7"/>
      <c r="B16" s="218" t="str">
        <f t="array" ref="B16">IFERROR(INDEX('Bảng theo dõi bài tập'!$A$23:$A$72,MATCH(B15,'Bảng theo dõi bài tập'!$G$23:$G$72,0))&amp;": "&amp;INDEX('Bảng theo dõi bài tập'!$B$23:$B$72,MATCH(B15,'Bảng theo dõi bài tập'!$G$23:$G$72,0))&amp;IF(COUNTIF('Bảng theo dõi bài tập'!$G$23:$G$72,B15)&gt;1," (+"&amp;(COUNTIF('Bảng theo dõi bài tập'!$G$23:$G$72,B15)-1)&amp;" việc khác)",""),"")</f>
        <v/>
      </c>
      <c r="C16" s="218" t="str">
        <f t="array" ref="C16">IFERROR(INDEX('Bảng theo dõi bài tập'!$A$23:$A$72,MATCH(C15,'Bảng theo dõi bài tập'!$G$23:$G$72,0))&amp;": "&amp;INDEX('Bảng theo dõi bài tập'!$B$23:$B$72,MATCH(C15,'Bảng theo dõi bài tập'!$G$23:$G$72,0))&amp;IF(COUNTIF('Bảng theo dõi bài tập'!$G$23:$G$72,C15)&gt;1," (+"&amp;(COUNTIF('Bảng theo dõi bài tập'!$G$23:$G$72,C15)-1)&amp;" việc khác)",""),"")</f>
        <v/>
      </c>
      <c r="D16" s="218" t="str">
        <f t="array" ref="D16">IFERROR(INDEX('Bảng theo dõi bài tập'!$A$23:$A$72,MATCH(D15,'Bảng theo dõi bài tập'!$G$23:$G$72,0))&amp;": "&amp;INDEX('Bảng theo dõi bài tập'!$B$23:$B$72,MATCH(D15,'Bảng theo dõi bài tập'!$G$23:$G$72,0))&amp;IF(COUNTIF('Bảng theo dõi bài tập'!$G$23:$G$72,D15)&gt;1," (+"&amp;(COUNTIF('Bảng theo dõi bài tập'!$G$23:$G$72,D15)-1)&amp;" việc khác)",""),"")</f>
        <v/>
      </c>
      <c r="E16" s="218" t="str">
        <f t="array" ref="E16">IFERROR(INDEX('Bảng theo dõi bài tập'!$A$23:$A$72,MATCH(E15,'Bảng theo dõi bài tập'!$G$23:$G$72,0))&amp;": "&amp;INDEX('Bảng theo dõi bài tập'!$B$23:$B$72,MATCH(E15,'Bảng theo dõi bài tập'!$G$23:$G$72,0))&amp;IF(COUNTIF('Bảng theo dõi bài tập'!$G$23:$G$72,E15)&gt;1," (+"&amp;(COUNTIF('Bảng theo dõi bài tập'!$G$23:$G$72,E15)-1)&amp;" việc khác)",""),"")</f>
        <v/>
      </c>
      <c r="F16" s="218" t="str">
        <f t="array" ref="F16">IFERROR(INDEX('Bảng theo dõi bài tập'!$A$23:$A$72,MATCH(F15,'Bảng theo dõi bài tập'!$G$23:$G$72,0))&amp;": "&amp;INDEX('Bảng theo dõi bài tập'!$B$23:$B$72,MATCH(F15,'Bảng theo dõi bài tập'!$G$23:$G$72,0))&amp;IF(COUNTIF('Bảng theo dõi bài tập'!$G$23:$G$72,F15)&gt;1," (+"&amp;(COUNTIF('Bảng theo dõi bài tập'!$G$23:$G$72,F15)-1)&amp;" việc khác)",""),"")</f>
        <v/>
      </c>
      <c r="G16" s="218" t="str">
        <f t="array" ref="G16">IFERROR(INDEX('Bảng theo dõi bài tập'!$A$23:$A$72,MATCH(G15,'Bảng theo dõi bài tập'!$G$23:$G$72,0))&amp;": "&amp;INDEX('Bảng theo dõi bài tập'!$B$23:$B$72,MATCH(G15,'Bảng theo dõi bài tập'!$G$23:$G$72,0))&amp;IF(COUNTIF('Bảng theo dõi bài tập'!$G$23:$G$72,G15)&gt;1," (+"&amp;(COUNTIF('Bảng theo dõi bài tập'!$G$23:$G$72,G15)-1)&amp;" việc khác)",""),"")</f>
        <v/>
      </c>
      <c r="H16" s="218" t="str">
        <f t="array" ref="H16">IFERROR(INDEX('Bảng theo dõi bài tập'!$A$23:$A$72,MATCH(H15,'Bảng theo dõi bài tập'!$G$23:$G$72,0))&amp;": "&amp;INDEX('Bảng theo dõi bài tập'!$B$23:$B$72,MATCH(H15,'Bảng theo dõi bài tập'!$G$23:$G$72,0))&amp;IF(COUNTIF('Bảng theo dõi bài tập'!$G$23:$G$72,H15)&gt;1," (+"&amp;(COUNTIF('Bảng theo dõi bài tập'!$G$23:$G$72,H15)-1)&amp;" việc khác)",""),"")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215">
        <f>B15+7</f>
        <v>46328</v>
      </c>
      <c r="C17" s="215">
        <f t="shared" ref="C17:H17" si="6">B17+1</f>
        <v>46329</v>
      </c>
      <c r="D17" s="215">
        <f t="shared" si="6"/>
        <v>46330</v>
      </c>
      <c r="E17" s="215">
        <f t="shared" si="6"/>
        <v>46331</v>
      </c>
      <c r="F17" s="215">
        <f t="shared" si="6"/>
        <v>46332</v>
      </c>
      <c r="G17" s="215">
        <f t="shared" si="6"/>
        <v>46333</v>
      </c>
      <c r="H17" s="215">
        <f t="shared" si="6"/>
        <v>46334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57.75" customHeight="1">
      <c r="A18" s="7"/>
      <c r="B18" s="218" t="str">
        <f t="array" ref="B18">IFERROR(INDEX('Bảng theo dõi bài tập'!$A$23:$A$72,MATCH(B17,'Bảng theo dõi bài tập'!$G$23:$G$72,0))&amp;": "&amp;INDEX('Bảng theo dõi bài tập'!$B$23:$B$72,MATCH(B17,'Bảng theo dõi bài tập'!$G$23:$G$72,0))&amp;IF(COUNTIF('Bảng theo dõi bài tập'!$G$23:$G$72,B17)&gt;1," (+"&amp;(COUNTIF('Bảng theo dõi bài tập'!$G$23:$G$72,B17)-1)&amp;" việc khác)",""),"")</f>
        <v/>
      </c>
      <c r="C18" s="218" t="str">
        <f t="array" ref="C18">IFERROR(INDEX('Bảng theo dõi bài tập'!$A$23:$A$72,MATCH(C17,'Bảng theo dõi bài tập'!$G$23:$G$72,0))&amp;": "&amp;INDEX('Bảng theo dõi bài tập'!$B$23:$B$72,MATCH(C17,'Bảng theo dõi bài tập'!$G$23:$G$72,0))&amp;IF(COUNTIF('Bảng theo dõi bài tập'!$G$23:$G$72,C17)&gt;1," (+"&amp;(COUNTIF('Bảng theo dõi bài tập'!$G$23:$G$72,C17)-1)&amp;" việc khác)",""),"")</f>
        <v/>
      </c>
      <c r="D18" s="218" t="str">
        <f t="array" ref="D18">IFERROR(INDEX('Bảng theo dõi bài tập'!$A$23:$A$72,MATCH(D17,'Bảng theo dõi bài tập'!$G$23:$G$72,0))&amp;": "&amp;INDEX('Bảng theo dõi bài tập'!$B$23:$B$72,MATCH(D17,'Bảng theo dõi bài tập'!$G$23:$G$72,0))&amp;IF(COUNTIF('Bảng theo dõi bài tập'!$G$23:$G$72,D17)&gt;1," (+"&amp;(COUNTIF('Bảng theo dõi bài tập'!$G$23:$G$72,D17)-1)&amp;" việc khác)",""),"")</f>
        <v/>
      </c>
      <c r="E18" s="218" t="str">
        <f t="array" ref="E18">IFERROR(INDEX('Bảng theo dõi bài tập'!$A$23:$A$72,MATCH(E17,'Bảng theo dõi bài tập'!$G$23:$G$72,0))&amp;": "&amp;INDEX('Bảng theo dõi bài tập'!$B$23:$B$72,MATCH(E17,'Bảng theo dõi bài tập'!$G$23:$G$72,0))&amp;IF(COUNTIF('Bảng theo dõi bài tập'!$G$23:$G$72,E17)&gt;1," (+"&amp;(COUNTIF('Bảng theo dõi bài tập'!$G$23:$G$72,E17)-1)&amp;" việc khác)",""),"")</f>
        <v/>
      </c>
      <c r="F18" s="218" t="str">
        <f t="array" ref="F18">IFERROR(INDEX('Bảng theo dõi bài tập'!$A$23:$A$72,MATCH(F17,'Bảng theo dõi bài tập'!$G$23:$G$72,0))&amp;": "&amp;INDEX('Bảng theo dõi bài tập'!$B$23:$B$72,MATCH(F17,'Bảng theo dõi bài tập'!$G$23:$G$72,0))&amp;IF(COUNTIF('Bảng theo dõi bài tập'!$G$23:$G$72,F17)&gt;1," (+"&amp;(COUNTIF('Bảng theo dõi bài tập'!$G$23:$G$72,F17)-1)&amp;" việc khác)",""),"")</f>
        <v/>
      </c>
      <c r="G18" s="218" t="str">
        <f t="array" ref="G18">IFERROR(INDEX('Bảng theo dõi bài tập'!$A$23:$A$72,MATCH(G17,'Bảng theo dõi bài tập'!$G$23:$G$72,0))&amp;": "&amp;INDEX('Bảng theo dõi bài tập'!$B$23:$B$72,MATCH(G17,'Bảng theo dõi bài tập'!$G$23:$G$72,0))&amp;IF(COUNTIF('Bảng theo dõi bài tập'!$G$23:$G$72,G17)&gt;1," (+"&amp;(COUNTIF('Bảng theo dõi bài tập'!$G$23:$G$72,G17)-1)&amp;" việc khác)",""),"")</f>
        <v/>
      </c>
      <c r="H18" s="218" t="str">
        <f t="array" ref="H18">IFERROR(INDEX('Bảng theo dõi bài tập'!$A$23:$A$72,MATCH(H17,'Bảng theo dõi bài tập'!$G$23:$G$72,0))&amp;": "&amp;INDEX('Bảng theo dõi bài tập'!$B$23:$B$72,MATCH(H17,'Bảng theo dõi bài tập'!$G$23:$G$72,0))&amp;IF(COUNTIF('Bảng theo dõi bài tập'!$G$23:$G$72,H17)&gt;1," (+"&amp;(COUNTIF('Bảng theo dõi bài tập'!$G$23:$G$72,H17)-1)&amp;" việc khác)",""),"")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5:H5"/>
  </mergeCells>
  <conditionalFormatting sqref="B7:H18">
    <cfRule type="expression" dxfId="16" priority="1">
      <formula>AND(MOD(ROW(),2)=1,MONTH(B7)&lt;&gt;$C$4)</formula>
    </cfRule>
  </conditionalFormatting>
  <conditionalFormatting sqref="B7:H18">
    <cfRule type="expression" dxfId="2" priority="2">
      <formula>AND(MOD(ROW(),2)=1,B7=TODAY())</formula>
    </cfRule>
  </conditionalFormatting>
  <conditionalFormatting sqref="B7:H18">
    <cfRule type="expression" dxfId="9" priority="3" stopIfTrue="1">
      <formula>AND(MOD(ROW(),2)=0, B7&lt;&gt;"")</formula>
    </cfRule>
  </conditionalFormatting>
  <dataValidations>
    <dataValidation type="list" allowBlank="1" sqref="C4">
      <formula1>"1,2,3,4,5,6,7,8,9,10,11,12"</formula1>
    </dataValidation>
  </dataValidations>
  <hyperlinks>
    <hyperlink display="⌂ Về Dashboard" location="Dashboard!A1" ref="H1"/>
  </hyperlink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30.29"/>
    <col customWidth="1" min="3" max="3" width="17.0"/>
    <col customWidth="1" min="4" max="4" width="13.0"/>
    <col customWidth="1" min="5" max="5" width="12.57"/>
    <col customWidth="1" min="6" max="6" width="8.14"/>
    <col customWidth="1" min="7" max="7" width="7.29"/>
    <col customWidth="1" min="8" max="8" width="32.86"/>
    <col customWidth="1" min="9" max="9" width="15.86"/>
    <col customWidth="1" min="10" max="26" width="8.71"/>
  </cols>
  <sheetData>
    <row r="1" ht="30.0" customHeight="1">
      <c r="A1" s="166" t="s">
        <v>269</v>
      </c>
      <c r="B1" s="167"/>
      <c r="C1" s="167"/>
      <c r="D1" s="167"/>
      <c r="E1" s="167"/>
      <c r="F1" s="216"/>
      <c r="G1" s="217" t="s">
        <v>2</v>
      </c>
      <c r="H1" s="170"/>
      <c r="I1" s="17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219" t="s">
        <v>270</v>
      </c>
      <c r="B2" s="219" t="s">
        <v>271</v>
      </c>
      <c r="C2" s="220" t="s">
        <v>272</v>
      </c>
      <c r="D2" s="16"/>
      <c r="E2" s="220" t="s">
        <v>9</v>
      </c>
      <c r="F2" s="15"/>
      <c r="G2" s="16"/>
      <c r="H2" s="220" t="s">
        <v>194</v>
      </c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176">
        <f>COUNTA(B5:B100)</f>
        <v>6</v>
      </c>
      <c r="B3" s="221">
        <f t="shared" ref="B3:C3" si="1">SUM(E5:E100)</f>
        <v>520</v>
      </c>
      <c r="C3" s="222">
        <f t="shared" si="1"/>
        <v>2200</v>
      </c>
      <c r="D3" s="16"/>
      <c r="E3" s="23">
        <f>IF(C3=0, 0, B3/C3)</f>
        <v>0.2363636364</v>
      </c>
      <c r="F3" s="15"/>
      <c r="G3" s="16"/>
      <c r="H3" s="177" t="str">
        <f>IFERROR(__xludf.DUMMYFUNCTION("IF(C3=0, """", SPARKLINE(B3/C3, {""charttype"",""bar""; ""max"",1; ""color1"",""#1a73e8""}))"),"")</f>
        <v/>
      </c>
      <c r="I3" s="1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28" t="s">
        <v>32</v>
      </c>
      <c r="B4" s="28" t="s">
        <v>273</v>
      </c>
      <c r="C4" s="28" t="s">
        <v>274</v>
      </c>
      <c r="D4" s="28" t="s">
        <v>275</v>
      </c>
      <c r="E4" s="28" t="s">
        <v>276</v>
      </c>
      <c r="F4" s="28" t="s">
        <v>277</v>
      </c>
      <c r="G4" s="28" t="s">
        <v>200</v>
      </c>
      <c r="H4" s="28" t="s">
        <v>27</v>
      </c>
      <c r="I4" s="179" t="s">
        <v>201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4" t="s">
        <v>39</v>
      </c>
      <c r="B5" s="34" t="s">
        <v>278</v>
      </c>
      <c r="C5" s="34" t="s">
        <v>279</v>
      </c>
      <c r="D5" s="34" t="s">
        <v>280</v>
      </c>
      <c r="E5" s="34">
        <v>240.0</v>
      </c>
      <c r="F5" s="34">
        <v>320.0</v>
      </c>
      <c r="G5" s="188">
        <f t="shared" ref="G5:G10" si="2">IF(OR(E5="",F5="",F5=0),"",MIN(1,E5/F5))</f>
        <v>0.75</v>
      </c>
      <c r="H5" s="34" t="s">
        <v>281</v>
      </c>
      <c r="I5" s="183" t="str">
        <f>IFERROR(__xludf.DUMMYFUNCTION("IF(OR(E5="""",F5="""",F5=0),"""",SPARKLINE(MIN(1,E5/F5), {""charttype"",""bar""; ""max"",1; ""color1"",""#1a73e8""}))"),"")</f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4" t="s">
        <v>42</v>
      </c>
      <c r="B6" s="34" t="s">
        <v>282</v>
      </c>
      <c r="C6" s="34" t="s">
        <v>283</v>
      </c>
      <c r="D6" s="34" t="s">
        <v>284</v>
      </c>
      <c r="E6" s="34">
        <v>20.0</v>
      </c>
      <c r="F6" s="34">
        <v>250.0</v>
      </c>
      <c r="G6" s="188">
        <f t="shared" si="2"/>
        <v>0.08</v>
      </c>
      <c r="H6" s="34" t="s">
        <v>285</v>
      </c>
      <c r="I6" s="183" t="str">
        <f>IFERROR(__xludf.DUMMYFUNCTION("IF(OR(E6="""",F6="""",F6=0),"""",SPARKLINE(MIN(1,E6/F6), {""charttype"",""bar""; ""max"",1; ""color1"",""#1a73e8""}))"),"")</f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4" t="s">
        <v>53</v>
      </c>
      <c r="B7" s="34" t="s">
        <v>286</v>
      </c>
      <c r="C7" s="34" t="s">
        <v>287</v>
      </c>
      <c r="D7" s="34" t="s">
        <v>288</v>
      </c>
      <c r="E7" s="34">
        <v>40.0</v>
      </c>
      <c r="F7" s="34">
        <v>180.0</v>
      </c>
      <c r="G7" s="188">
        <f t="shared" si="2"/>
        <v>0.2222222222</v>
      </c>
      <c r="H7" s="34" t="s">
        <v>289</v>
      </c>
      <c r="I7" s="183" t="str">
        <f>IFERROR(__xludf.DUMMYFUNCTION("IF(OR(E7="""",F7="""",F7=0),"""",SPARKLINE(MIN(1,E7/F7), {""charttype"",""bar""; ""max"",1; ""color1"",""#1a73e8""}))"),"")</f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4" t="s">
        <v>56</v>
      </c>
      <c r="B8" s="34" t="s">
        <v>290</v>
      </c>
      <c r="C8" s="34" t="s">
        <v>291</v>
      </c>
      <c r="D8" s="34" t="s">
        <v>292</v>
      </c>
      <c r="E8" s="34">
        <v>115.0</v>
      </c>
      <c r="F8" s="34">
        <v>1000.0</v>
      </c>
      <c r="G8" s="188">
        <f t="shared" si="2"/>
        <v>0.115</v>
      </c>
      <c r="H8" s="34" t="s">
        <v>293</v>
      </c>
      <c r="I8" s="183" t="str">
        <f>IFERROR(__xludf.DUMMYFUNCTION("IF(OR(E8="""",F8="""",F8=0),"""",SPARKLINE(MIN(1,E8/F8), {""charttype"",""bar""; ""max"",1; ""color1"",""#1a73e8""}))"),"")</f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4" t="s">
        <v>65</v>
      </c>
      <c r="B9" s="34" t="s">
        <v>294</v>
      </c>
      <c r="C9" s="34" t="s">
        <v>295</v>
      </c>
      <c r="D9" s="34" t="s">
        <v>296</v>
      </c>
      <c r="E9" s="34">
        <v>70.0</v>
      </c>
      <c r="F9" s="34">
        <v>150.0</v>
      </c>
      <c r="G9" s="188">
        <f t="shared" si="2"/>
        <v>0.4666666667</v>
      </c>
      <c r="H9" s="34" t="s">
        <v>297</v>
      </c>
      <c r="I9" s="183" t="str">
        <f>IFERROR(__xludf.DUMMYFUNCTION("IF(OR(E9="""",F9="""",F9=0),"""",SPARKLINE(MIN(1,E9/F9), {""charttype"",""bar""; ""max"",1; ""color1"",""#1a73e8""}))"),"")</f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4" t="s">
        <v>71</v>
      </c>
      <c r="B10" s="34" t="s">
        <v>298</v>
      </c>
      <c r="C10" s="34" t="s">
        <v>299</v>
      </c>
      <c r="D10" s="34" t="s">
        <v>300</v>
      </c>
      <c r="E10" s="34">
        <v>35.0</v>
      </c>
      <c r="F10" s="34">
        <v>300.0</v>
      </c>
      <c r="G10" s="188">
        <f t="shared" si="2"/>
        <v>0.1166666667</v>
      </c>
      <c r="H10" s="34" t="s">
        <v>301</v>
      </c>
      <c r="I10" s="183" t="str">
        <f>IFERROR(__xludf.DUMMYFUNCTION("IF(OR(E10="""",F10="""",F10=0),"""",SPARKLINE(MIN(1,E10/F10), {""charttype"",""bar""; ""max"",1; ""color1"",""#1a73e8""}))"),"")</f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4"/>
      <c r="B11" s="34"/>
      <c r="C11" s="34"/>
      <c r="D11" s="34"/>
      <c r="E11" s="34"/>
      <c r="F11" s="34"/>
      <c r="G11" s="188"/>
      <c r="H11" s="3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4"/>
      <c r="B12" s="34"/>
      <c r="C12" s="34"/>
      <c r="D12" s="34"/>
      <c r="E12" s="34"/>
      <c r="F12" s="34"/>
      <c r="G12" s="188"/>
      <c r="H12" s="3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4"/>
      <c r="B13" s="34"/>
      <c r="C13" s="34"/>
      <c r="D13" s="34"/>
      <c r="E13" s="34"/>
      <c r="F13" s="34"/>
      <c r="G13" s="188"/>
      <c r="H13" s="3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4"/>
      <c r="B14" s="34"/>
      <c r="C14" s="34"/>
      <c r="D14" s="34"/>
      <c r="E14" s="34"/>
      <c r="F14" s="34"/>
      <c r="G14" s="188"/>
      <c r="H14" s="3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4"/>
      <c r="B15" s="34"/>
      <c r="C15" s="34"/>
      <c r="D15" s="34"/>
      <c r="E15" s="34"/>
      <c r="F15" s="34"/>
      <c r="G15" s="188"/>
      <c r="H15" s="3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4"/>
      <c r="B16" s="34"/>
      <c r="C16" s="34"/>
      <c r="D16" s="34"/>
      <c r="E16" s="34"/>
      <c r="F16" s="34"/>
      <c r="G16" s="188"/>
      <c r="H16" s="3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4"/>
      <c r="B17" s="34"/>
      <c r="C17" s="34"/>
      <c r="D17" s="34"/>
      <c r="E17" s="34"/>
      <c r="F17" s="34"/>
      <c r="G17" s="188"/>
      <c r="H17" s="3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4"/>
      <c r="B18" s="34"/>
      <c r="C18" s="34"/>
      <c r="D18" s="34"/>
      <c r="E18" s="34"/>
      <c r="F18" s="34"/>
      <c r="G18" s="188"/>
      <c r="H18" s="3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4"/>
      <c r="B19" s="34"/>
      <c r="C19" s="34"/>
      <c r="D19" s="34"/>
      <c r="E19" s="34"/>
      <c r="F19" s="34"/>
      <c r="G19" s="188"/>
      <c r="H19" s="3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4"/>
      <c r="B20" s="34"/>
      <c r="C20" s="34"/>
      <c r="D20" s="34"/>
      <c r="E20" s="34"/>
      <c r="F20" s="34"/>
      <c r="G20" s="188"/>
      <c r="H20" s="3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4"/>
      <c r="B21" s="34"/>
      <c r="C21" s="34"/>
      <c r="D21" s="34"/>
      <c r="E21" s="34"/>
      <c r="F21" s="34"/>
      <c r="G21" s="188" t="str">
        <f t="shared" ref="G21:G104" si="3">IF(OR(E21="",F21="",F21=0),"",MIN(1,E21/F21))</f>
        <v/>
      </c>
      <c r="H21" s="3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4"/>
      <c r="B22" s="34"/>
      <c r="C22" s="34"/>
      <c r="D22" s="34"/>
      <c r="E22" s="34"/>
      <c r="F22" s="34"/>
      <c r="G22" s="188" t="str">
        <f t="shared" si="3"/>
        <v/>
      </c>
      <c r="H22" s="3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4"/>
      <c r="B23" s="34"/>
      <c r="C23" s="34"/>
      <c r="D23" s="34"/>
      <c r="E23" s="34"/>
      <c r="F23" s="34"/>
      <c r="G23" s="188" t="str">
        <f t="shared" si="3"/>
        <v/>
      </c>
      <c r="H23" s="3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4"/>
      <c r="B24" s="34"/>
      <c r="C24" s="34"/>
      <c r="D24" s="34"/>
      <c r="E24" s="34"/>
      <c r="F24" s="34"/>
      <c r="G24" s="188" t="str">
        <f t="shared" si="3"/>
        <v/>
      </c>
      <c r="H24" s="3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4"/>
      <c r="B25" s="34"/>
      <c r="C25" s="34"/>
      <c r="D25" s="34"/>
      <c r="E25" s="34"/>
      <c r="F25" s="34"/>
      <c r="G25" s="188" t="str">
        <f t="shared" si="3"/>
        <v/>
      </c>
      <c r="H25" s="3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4"/>
      <c r="B26" s="34"/>
      <c r="C26" s="34"/>
      <c r="D26" s="34"/>
      <c r="E26" s="34"/>
      <c r="F26" s="34"/>
      <c r="G26" s="188" t="str">
        <f t="shared" si="3"/>
        <v/>
      </c>
      <c r="H26" s="3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4"/>
      <c r="B27" s="34"/>
      <c r="C27" s="34"/>
      <c r="D27" s="34"/>
      <c r="E27" s="34"/>
      <c r="F27" s="34"/>
      <c r="G27" s="188" t="str">
        <f t="shared" si="3"/>
        <v/>
      </c>
      <c r="H27" s="3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4"/>
      <c r="B28" s="34"/>
      <c r="C28" s="34"/>
      <c r="D28" s="34"/>
      <c r="E28" s="34"/>
      <c r="F28" s="34"/>
      <c r="G28" s="188" t="str">
        <f t="shared" si="3"/>
        <v/>
      </c>
      <c r="H28" s="3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4"/>
      <c r="B29" s="34"/>
      <c r="C29" s="34"/>
      <c r="D29" s="34"/>
      <c r="E29" s="34"/>
      <c r="F29" s="34"/>
      <c r="G29" s="188" t="str">
        <f t="shared" si="3"/>
        <v/>
      </c>
      <c r="H29" s="3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4"/>
      <c r="B30" s="34"/>
      <c r="C30" s="34"/>
      <c r="D30" s="34"/>
      <c r="E30" s="34"/>
      <c r="F30" s="34"/>
      <c r="G30" s="188" t="str">
        <f t="shared" si="3"/>
        <v/>
      </c>
      <c r="H30" s="3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4"/>
      <c r="B31" s="34"/>
      <c r="C31" s="34"/>
      <c r="D31" s="34"/>
      <c r="E31" s="34"/>
      <c r="F31" s="34"/>
      <c r="G31" s="188" t="str">
        <f t="shared" si="3"/>
        <v/>
      </c>
      <c r="H31" s="3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4"/>
      <c r="B32" s="34"/>
      <c r="C32" s="34"/>
      <c r="D32" s="34"/>
      <c r="E32" s="34"/>
      <c r="F32" s="34"/>
      <c r="G32" s="188" t="str">
        <f t="shared" si="3"/>
        <v/>
      </c>
      <c r="H32" s="3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4"/>
      <c r="B33" s="34"/>
      <c r="C33" s="34"/>
      <c r="D33" s="34"/>
      <c r="E33" s="34"/>
      <c r="F33" s="34"/>
      <c r="G33" s="188" t="str">
        <f t="shared" si="3"/>
        <v/>
      </c>
      <c r="H33" s="3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4"/>
      <c r="B34" s="34"/>
      <c r="C34" s="34"/>
      <c r="D34" s="34"/>
      <c r="E34" s="34"/>
      <c r="F34" s="34"/>
      <c r="G34" s="188" t="str">
        <f t="shared" si="3"/>
        <v/>
      </c>
      <c r="H34" s="3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4"/>
      <c r="B35" s="34"/>
      <c r="C35" s="34"/>
      <c r="D35" s="34"/>
      <c r="E35" s="34"/>
      <c r="F35" s="34"/>
      <c r="G35" s="188" t="str">
        <f t="shared" si="3"/>
        <v/>
      </c>
      <c r="H35" s="3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4"/>
      <c r="B36" s="34"/>
      <c r="C36" s="34"/>
      <c r="D36" s="34"/>
      <c r="E36" s="34"/>
      <c r="F36" s="34"/>
      <c r="G36" s="188" t="str">
        <f t="shared" si="3"/>
        <v/>
      </c>
      <c r="H36" s="3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4"/>
      <c r="B37" s="34"/>
      <c r="C37" s="34"/>
      <c r="D37" s="34"/>
      <c r="E37" s="34"/>
      <c r="F37" s="34"/>
      <c r="G37" s="188" t="str">
        <f t="shared" si="3"/>
        <v/>
      </c>
      <c r="H37" s="3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4"/>
      <c r="B38" s="34"/>
      <c r="C38" s="34"/>
      <c r="D38" s="34"/>
      <c r="E38" s="34"/>
      <c r="F38" s="34"/>
      <c r="G38" s="188" t="str">
        <f t="shared" si="3"/>
        <v/>
      </c>
      <c r="H38" s="3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4"/>
      <c r="B39" s="34"/>
      <c r="C39" s="34"/>
      <c r="D39" s="34"/>
      <c r="E39" s="34"/>
      <c r="F39" s="34"/>
      <c r="G39" s="188" t="str">
        <f t="shared" si="3"/>
        <v/>
      </c>
      <c r="H39" s="3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B40" s="34"/>
      <c r="C40" s="34"/>
      <c r="D40" s="34"/>
      <c r="E40" s="34"/>
      <c r="F40" s="34"/>
      <c r="G40" s="188" t="str">
        <f t="shared" si="3"/>
        <v/>
      </c>
      <c r="H40" s="3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4"/>
      <c r="B41" s="34"/>
      <c r="C41" s="34"/>
      <c r="D41" s="34"/>
      <c r="E41" s="34"/>
      <c r="F41" s="34"/>
      <c r="G41" s="188" t="str">
        <f t="shared" si="3"/>
        <v/>
      </c>
      <c r="H41" s="3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4"/>
      <c r="B42" s="34"/>
      <c r="C42" s="34"/>
      <c r="D42" s="34"/>
      <c r="E42" s="34"/>
      <c r="F42" s="34"/>
      <c r="G42" s="188" t="str">
        <f t="shared" si="3"/>
        <v/>
      </c>
      <c r="H42" s="3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4"/>
      <c r="B43" s="34"/>
      <c r="C43" s="34"/>
      <c r="D43" s="34"/>
      <c r="E43" s="34"/>
      <c r="F43" s="34"/>
      <c r="G43" s="188" t="str">
        <f t="shared" si="3"/>
        <v/>
      </c>
      <c r="H43" s="3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4"/>
      <c r="B44" s="34"/>
      <c r="C44" s="34"/>
      <c r="D44" s="34"/>
      <c r="E44" s="34"/>
      <c r="F44" s="34"/>
      <c r="G44" s="188" t="str">
        <f t="shared" si="3"/>
        <v/>
      </c>
      <c r="H44" s="3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4"/>
      <c r="B45" s="34"/>
      <c r="C45" s="34"/>
      <c r="D45" s="34"/>
      <c r="E45" s="34"/>
      <c r="F45" s="34"/>
      <c r="G45" s="188" t="str">
        <f t="shared" si="3"/>
        <v/>
      </c>
      <c r="H45" s="3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4"/>
      <c r="B46" s="34"/>
      <c r="C46" s="34"/>
      <c r="D46" s="34"/>
      <c r="E46" s="34"/>
      <c r="F46" s="34"/>
      <c r="G46" s="188" t="str">
        <f t="shared" si="3"/>
        <v/>
      </c>
      <c r="H46" s="3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34"/>
      <c r="B47" s="34"/>
      <c r="C47" s="34"/>
      <c r="D47" s="34"/>
      <c r="E47" s="34"/>
      <c r="F47" s="34"/>
      <c r="G47" s="188" t="str">
        <f t="shared" si="3"/>
        <v/>
      </c>
      <c r="H47" s="3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4"/>
      <c r="B48" s="34"/>
      <c r="C48" s="34"/>
      <c r="D48" s="34"/>
      <c r="E48" s="34"/>
      <c r="F48" s="34"/>
      <c r="G48" s="188" t="str">
        <f t="shared" si="3"/>
        <v/>
      </c>
      <c r="H48" s="3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4"/>
      <c r="B49" s="34"/>
      <c r="C49" s="34"/>
      <c r="D49" s="34"/>
      <c r="E49" s="34"/>
      <c r="F49" s="34"/>
      <c r="G49" s="188" t="str">
        <f t="shared" si="3"/>
        <v/>
      </c>
      <c r="H49" s="3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4"/>
      <c r="B50" s="34"/>
      <c r="C50" s="34"/>
      <c r="D50" s="34"/>
      <c r="E50" s="34"/>
      <c r="F50" s="34"/>
      <c r="G50" s="188" t="str">
        <f t="shared" si="3"/>
        <v/>
      </c>
      <c r="H50" s="3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4"/>
      <c r="B51" s="34"/>
      <c r="C51" s="34"/>
      <c r="D51" s="34"/>
      <c r="E51" s="34"/>
      <c r="F51" s="34"/>
      <c r="G51" s="188" t="str">
        <f t="shared" si="3"/>
        <v/>
      </c>
      <c r="H51" s="3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4"/>
      <c r="B52" s="34"/>
      <c r="C52" s="34"/>
      <c r="D52" s="34"/>
      <c r="E52" s="34"/>
      <c r="F52" s="34"/>
      <c r="G52" s="188" t="str">
        <f t="shared" si="3"/>
        <v/>
      </c>
      <c r="H52" s="3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4"/>
      <c r="B53" s="34"/>
      <c r="C53" s="34"/>
      <c r="D53" s="34"/>
      <c r="E53" s="34"/>
      <c r="F53" s="34"/>
      <c r="G53" s="188" t="str">
        <f t="shared" si="3"/>
        <v/>
      </c>
      <c r="H53" s="3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4"/>
      <c r="B54" s="34"/>
      <c r="C54" s="34"/>
      <c r="D54" s="34"/>
      <c r="E54" s="34"/>
      <c r="F54" s="34"/>
      <c r="G54" s="188" t="str">
        <f t="shared" si="3"/>
        <v/>
      </c>
      <c r="H54" s="3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4"/>
      <c r="B55" s="34"/>
      <c r="C55" s="34"/>
      <c r="D55" s="34"/>
      <c r="E55" s="34"/>
      <c r="F55" s="34"/>
      <c r="G55" s="188" t="str">
        <f t="shared" si="3"/>
        <v/>
      </c>
      <c r="H55" s="3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4"/>
      <c r="B56" s="34"/>
      <c r="C56" s="34"/>
      <c r="D56" s="34"/>
      <c r="E56" s="34"/>
      <c r="F56" s="34"/>
      <c r="G56" s="188" t="str">
        <f t="shared" si="3"/>
        <v/>
      </c>
      <c r="H56" s="3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4"/>
      <c r="B57" s="34"/>
      <c r="C57" s="34"/>
      <c r="D57" s="34"/>
      <c r="E57" s="34"/>
      <c r="F57" s="34"/>
      <c r="G57" s="188" t="str">
        <f t="shared" si="3"/>
        <v/>
      </c>
      <c r="H57" s="3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4"/>
      <c r="B58" s="34"/>
      <c r="C58" s="34"/>
      <c r="D58" s="34"/>
      <c r="E58" s="34"/>
      <c r="F58" s="34"/>
      <c r="G58" s="188" t="str">
        <f t="shared" si="3"/>
        <v/>
      </c>
      <c r="H58" s="3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34"/>
      <c r="B59" s="34"/>
      <c r="C59" s="34"/>
      <c r="D59" s="34"/>
      <c r="E59" s="34"/>
      <c r="F59" s="34"/>
      <c r="G59" s="188" t="str">
        <f t="shared" si="3"/>
        <v/>
      </c>
      <c r="H59" s="3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4"/>
      <c r="B60" s="34"/>
      <c r="C60" s="34"/>
      <c r="D60" s="34"/>
      <c r="E60" s="34"/>
      <c r="F60" s="34"/>
      <c r="G60" s="188" t="str">
        <f t="shared" si="3"/>
        <v/>
      </c>
      <c r="H60" s="3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92"/>
      <c r="B61" s="192"/>
      <c r="C61" s="192"/>
      <c r="D61" s="192"/>
      <c r="E61" s="192"/>
      <c r="F61" s="192"/>
      <c r="G61" s="194" t="str">
        <f t="shared" si="3"/>
        <v/>
      </c>
      <c r="H61" s="192"/>
    </row>
    <row r="62" ht="15.75" customHeight="1">
      <c r="A62" s="192"/>
      <c r="B62" s="192"/>
      <c r="C62" s="192"/>
      <c r="D62" s="192"/>
      <c r="E62" s="192"/>
      <c r="F62" s="192"/>
      <c r="G62" s="194" t="str">
        <f t="shared" si="3"/>
        <v/>
      </c>
      <c r="H62" s="192"/>
    </row>
    <row r="63" ht="15.75" customHeight="1">
      <c r="A63" s="192"/>
      <c r="B63" s="192"/>
      <c r="C63" s="192"/>
      <c r="D63" s="192"/>
      <c r="E63" s="192"/>
      <c r="F63" s="192"/>
      <c r="G63" s="194" t="str">
        <f t="shared" si="3"/>
        <v/>
      </c>
      <c r="H63" s="192"/>
    </row>
    <row r="64" ht="15.75" customHeight="1">
      <c r="A64" s="192"/>
      <c r="B64" s="192"/>
      <c r="C64" s="192"/>
      <c r="D64" s="192"/>
      <c r="E64" s="192"/>
      <c r="F64" s="192"/>
      <c r="G64" s="194" t="str">
        <f t="shared" si="3"/>
        <v/>
      </c>
      <c r="H64" s="192"/>
    </row>
    <row r="65" ht="15.75" customHeight="1">
      <c r="A65" s="192"/>
      <c r="B65" s="192"/>
      <c r="C65" s="192"/>
      <c r="D65" s="192"/>
      <c r="E65" s="192"/>
      <c r="F65" s="192"/>
      <c r="G65" s="194" t="str">
        <f t="shared" si="3"/>
        <v/>
      </c>
      <c r="H65" s="192"/>
    </row>
    <row r="66" ht="15.75" customHeight="1">
      <c r="A66" s="192"/>
      <c r="B66" s="192"/>
      <c r="C66" s="192"/>
      <c r="D66" s="192"/>
      <c r="E66" s="192"/>
      <c r="F66" s="192"/>
      <c r="G66" s="194" t="str">
        <f t="shared" si="3"/>
        <v/>
      </c>
      <c r="H66" s="192"/>
    </row>
    <row r="67" ht="15.75" customHeight="1">
      <c r="A67" s="192"/>
      <c r="B67" s="192"/>
      <c r="C67" s="192"/>
      <c r="D67" s="192"/>
      <c r="E67" s="192"/>
      <c r="F67" s="192"/>
      <c r="G67" s="194" t="str">
        <f t="shared" si="3"/>
        <v/>
      </c>
      <c r="H67" s="192"/>
    </row>
    <row r="68" ht="15.75" customHeight="1">
      <c r="A68" s="192"/>
      <c r="B68" s="192"/>
      <c r="C68" s="192"/>
      <c r="D68" s="192"/>
      <c r="E68" s="192"/>
      <c r="F68" s="192"/>
      <c r="G68" s="194" t="str">
        <f t="shared" si="3"/>
        <v/>
      </c>
      <c r="H68" s="192"/>
    </row>
    <row r="69" ht="15.75" customHeight="1">
      <c r="A69" s="192"/>
      <c r="B69" s="192"/>
      <c r="C69" s="192"/>
      <c r="D69" s="192"/>
      <c r="E69" s="192"/>
      <c r="F69" s="192"/>
      <c r="G69" s="194" t="str">
        <f t="shared" si="3"/>
        <v/>
      </c>
      <c r="H69" s="192"/>
    </row>
    <row r="70" ht="15.75" customHeight="1">
      <c r="A70" s="192"/>
      <c r="B70" s="192"/>
      <c r="C70" s="192"/>
      <c r="D70" s="192"/>
      <c r="E70" s="192"/>
      <c r="F70" s="192"/>
      <c r="G70" s="194" t="str">
        <f t="shared" si="3"/>
        <v/>
      </c>
      <c r="H70" s="192"/>
    </row>
    <row r="71" ht="15.75" customHeight="1">
      <c r="A71" s="192"/>
      <c r="B71" s="192"/>
      <c r="C71" s="192"/>
      <c r="D71" s="192"/>
      <c r="E71" s="192"/>
      <c r="F71" s="192"/>
      <c r="G71" s="194" t="str">
        <f t="shared" si="3"/>
        <v/>
      </c>
      <c r="H71" s="192"/>
    </row>
    <row r="72" ht="15.75" customHeight="1">
      <c r="A72" s="192"/>
      <c r="B72" s="192"/>
      <c r="C72" s="192"/>
      <c r="D72" s="192"/>
      <c r="E72" s="192"/>
      <c r="F72" s="192"/>
      <c r="G72" s="194" t="str">
        <f t="shared" si="3"/>
        <v/>
      </c>
      <c r="H72" s="192"/>
    </row>
    <row r="73" ht="15.75" customHeight="1">
      <c r="A73" s="192"/>
      <c r="B73" s="192"/>
      <c r="C73" s="192"/>
      <c r="D73" s="192"/>
      <c r="E73" s="192"/>
      <c r="F73" s="192"/>
      <c r="G73" s="194" t="str">
        <f t="shared" si="3"/>
        <v/>
      </c>
      <c r="H73" s="192"/>
    </row>
    <row r="74" ht="15.75" customHeight="1">
      <c r="A74" s="192"/>
      <c r="B74" s="192"/>
      <c r="C74" s="192"/>
      <c r="D74" s="192"/>
      <c r="E74" s="192"/>
      <c r="F74" s="192"/>
      <c r="G74" s="194" t="str">
        <f t="shared" si="3"/>
        <v/>
      </c>
      <c r="H74" s="192"/>
    </row>
    <row r="75" ht="15.75" customHeight="1">
      <c r="A75" s="192"/>
      <c r="B75" s="192"/>
      <c r="C75" s="192"/>
      <c r="D75" s="192"/>
      <c r="E75" s="192"/>
      <c r="F75" s="192"/>
      <c r="G75" s="194" t="str">
        <f t="shared" si="3"/>
        <v/>
      </c>
      <c r="H75" s="192"/>
    </row>
    <row r="76" ht="15.75" customHeight="1">
      <c r="A76" s="192"/>
      <c r="B76" s="192"/>
      <c r="C76" s="192"/>
      <c r="D76" s="192"/>
      <c r="E76" s="192"/>
      <c r="F76" s="192"/>
      <c r="G76" s="194" t="str">
        <f t="shared" si="3"/>
        <v/>
      </c>
      <c r="H76" s="192"/>
    </row>
    <row r="77" ht="15.75" customHeight="1">
      <c r="A77" s="192"/>
      <c r="B77" s="192"/>
      <c r="C77" s="192"/>
      <c r="D77" s="192"/>
      <c r="E77" s="192"/>
      <c r="F77" s="192"/>
      <c r="G77" s="194" t="str">
        <f t="shared" si="3"/>
        <v/>
      </c>
      <c r="H77" s="192"/>
    </row>
    <row r="78" ht="15.75" customHeight="1">
      <c r="A78" s="192"/>
      <c r="B78" s="192"/>
      <c r="C78" s="192"/>
      <c r="D78" s="192"/>
      <c r="E78" s="192"/>
      <c r="F78" s="192"/>
      <c r="G78" s="194" t="str">
        <f t="shared" si="3"/>
        <v/>
      </c>
      <c r="H78" s="192"/>
    </row>
    <row r="79" ht="15.75" customHeight="1">
      <c r="A79" s="192"/>
      <c r="B79" s="192"/>
      <c r="C79" s="192"/>
      <c r="D79" s="192"/>
      <c r="E79" s="192"/>
      <c r="F79" s="192"/>
      <c r="G79" s="194" t="str">
        <f t="shared" si="3"/>
        <v/>
      </c>
      <c r="H79" s="192"/>
    </row>
    <row r="80" ht="15.75" customHeight="1">
      <c r="A80" s="192"/>
      <c r="B80" s="192"/>
      <c r="C80" s="192"/>
      <c r="D80" s="192"/>
      <c r="E80" s="192"/>
      <c r="F80" s="192"/>
      <c r="G80" s="194" t="str">
        <f t="shared" si="3"/>
        <v/>
      </c>
      <c r="H80" s="192"/>
    </row>
    <row r="81" ht="15.75" customHeight="1">
      <c r="A81" s="192"/>
      <c r="B81" s="192"/>
      <c r="C81" s="192"/>
      <c r="D81" s="192"/>
      <c r="E81" s="192"/>
      <c r="F81" s="192"/>
      <c r="G81" s="194" t="str">
        <f t="shared" si="3"/>
        <v/>
      </c>
      <c r="H81" s="192"/>
    </row>
    <row r="82" ht="15.75" customHeight="1">
      <c r="A82" s="192"/>
      <c r="B82" s="192"/>
      <c r="C82" s="192"/>
      <c r="D82" s="192"/>
      <c r="E82" s="192"/>
      <c r="F82" s="192"/>
      <c r="G82" s="194" t="str">
        <f t="shared" si="3"/>
        <v/>
      </c>
      <c r="H82" s="192"/>
    </row>
    <row r="83" ht="15.75" customHeight="1">
      <c r="A83" s="192"/>
      <c r="B83" s="192"/>
      <c r="C83" s="192"/>
      <c r="D83" s="192"/>
      <c r="E83" s="192"/>
      <c r="F83" s="192"/>
      <c r="G83" s="194" t="str">
        <f t="shared" si="3"/>
        <v/>
      </c>
      <c r="H83" s="192"/>
    </row>
    <row r="84" ht="15.75" customHeight="1">
      <c r="A84" s="192"/>
      <c r="B84" s="192"/>
      <c r="C84" s="192"/>
      <c r="D84" s="192"/>
      <c r="E84" s="192"/>
      <c r="F84" s="192"/>
      <c r="G84" s="194" t="str">
        <f t="shared" si="3"/>
        <v/>
      </c>
      <c r="H84" s="192"/>
    </row>
    <row r="85" ht="15.75" customHeight="1">
      <c r="A85" s="192"/>
      <c r="B85" s="192"/>
      <c r="C85" s="192"/>
      <c r="D85" s="192"/>
      <c r="E85" s="192"/>
      <c r="F85" s="192"/>
      <c r="G85" s="194" t="str">
        <f t="shared" si="3"/>
        <v/>
      </c>
      <c r="H85" s="192"/>
    </row>
    <row r="86" ht="15.75" customHeight="1">
      <c r="A86" s="192"/>
      <c r="B86" s="192"/>
      <c r="C86" s="192"/>
      <c r="D86" s="192"/>
      <c r="E86" s="192"/>
      <c r="F86" s="192"/>
      <c r="G86" s="194" t="str">
        <f t="shared" si="3"/>
        <v/>
      </c>
      <c r="H86" s="192"/>
    </row>
    <row r="87" ht="15.75" customHeight="1">
      <c r="A87" s="192"/>
      <c r="B87" s="192"/>
      <c r="C87" s="192"/>
      <c r="D87" s="192"/>
      <c r="E87" s="192"/>
      <c r="F87" s="192"/>
      <c r="G87" s="194" t="str">
        <f t="shared" si="3"/>
        <v/>
      </c>
      <c r="H87" s="192"/>
    </row>
    <row r="88" ht="15.75" customHeight="1">
      <c r="A88" s="192"/>
      <c r="B88" s="192"/>
      <c r="C88" s="192"/>
      <c r="D88" s="192"/>
      <c r="E88" s="192"/>
      <c r="F88" s="192"/>
      <c r="G88" s="194" t="str">
        <f t="shared" si="3"/>
        <v/>
      </c>
      <c r="H88" s="192"/>
    </row>
    <row r="89" ht="15.75" customHeight="1">
      <c r="A89" s="192"/>
      <c r="B89" s="192"/>
      <c r="C89" s="192"/>
      <c r="D89" s="192"/>
      <c r="E89" s="192"/>
      <c r="F89" s="192"/>
      <c r="G89" s="194" t="str">
        <f t="shared" si="3"/>
        <v/>
      </c>
      <c r="H89" s="192"/>
    </row>
    <row r="90" ht="15.75" customHeight="1">
      <c r="A90" s="192"/>
      <c r="B90" s="192"/>
      <c r="C90" s="192"/>
      <c r="D90" s="192"/>
      <c r="E90" s="192"/>
      <c r="F90" s="192"/>
      <c r="G90" s="194" t="str">
        <f t="shared" si="3"/>
        <v/>
      </c>
      <c r="H90" s="192"/>
    </row>
    <row r="91" ht="15.75" customHeight="1">
      <c r="A91" s="192"/>
      <c r="B91" s="192"/>
      <c r="C91" s="192"/>
      <c r="D91" s="192"/>
      <c r="E91" s="192"/>
      <c r="F91" s="192"/>
      <c r="G91" s="194" t="str">
        <f t="shared" si="3"/>
        <v/>
      </c>
      <c r="H91" s="192"/>
    </row>
    <row r="92" ht="15.75" customHeight="1">
      <c r="A92" s="192"/>
      <c r="B92" s="192"/>
      <c r="C92" s="192"/>
      <c r="D92" s="192"/>
      <c r="E92" s="192"/>
      <c r="F92" s="192"/>
      <c r="G92" s="194" t="str">
        <f t="shared" si="3"/>
        <v/>
      </c>
      <c r="H92" s="192"/>
    </row>
    <row r="93" ht="15.75" customHeight="1">
      <c r="A93" s="192"/>
      <c r="B93" s="192"/>
      <c r="C93" s="192"/>
      <c r="D93" s="192"/>
      <c r="E93" s="192"/>
      <c r="F93" s="192"/>
      <c r="G93" s="194" t="str">
        <f t="shared" si="3"/>
        <v/>
      </c>
      <c r="H93" s="192"/>
    </row>
    <row r="94" ht="15.75" customHeight="1">
      <c r="A94" s="192"/>
      <c r="B94" s="192"/>
      <c r="C94" s="192"/>
      <c r="D94" s="192"/>
      <c r="E94" s="192"/>
      <c r="F94" s="192"/>
      <c r="G94" s="194" t="str">
        <f t="shared" si="3"/>
        <v/>
      </c>
      <c r="H94" s="192"/>
    </row>
    <row r="95" ht="15.75" customHeight="1">
      <c r="A95" s="192"/>
      <c r="B95" s="192"/>
      <c r="C95" s="192"/>
      <c r="D95" s="192"/>
      <c r="E95" s="192"/>
      <c r="F95" s="192"/>
      <c r="G95" s="194" t="str">
        <f t="shared" si="3"/>
        <v/>
      </c>
      <c r="H95" s="192"/>
    </row>
    <row r="96" ht="15.75" customHeight="1">
      <c r="A96" s="192"/>
      <c r="B96" s="192"/>
      <c r="C96" s="192"/>
      <c r="D96" s="192"/>
      <c r="E96" s="192"/>
      <c r="F96" s="192"/>
      <c r="G96" s="194" t="str">
        <f t="shared" si="3"/>
        <v/>
      </c>
      <c r="H96" s="192"/>
    </row>
    <row r="97" ht="15.75" customHeight="1">
      <c r="A97" s="192"/>
      <c r="B97" s="192"/>
      <c r="C97" s="192"/>
      <c r="D97" s="192"/>
      <c r="E97" s="192"/>
      <c r="F97" s="192"/>
      <c r="G97" s="194" t="str">
        <f t="shared" si="3"/>
        <v/>
      </c>
      <c r="H97" s="192"/>
    </row>
    <row r="98" ht="15.75" customHeight="1">
      <c r="A98" s="192"/>
      <c r="B98" s="192"/>
      <c r="C98" s="192"/>
      <c r="D98" s="192"/>
      <c r="E98" s="192"/>
      <c r="F98" s="192"/>
      <c r="G98" s="194" t="str">
        <f t="shared" si="3"/>
        <v/>
      </c>
      <c r="H98" s="192"/>
    </row>
    <row r="99" ht="15.75" customHeight="1">
      <c r="A99" s="192"/>
      <c r="B99" s="192"/>
      <c r="C99" s="192"/>
      <c r="D99" s="192"/>
      <c r="E99" s="192"/>
      <c r="F99" s="192"/>
      <c r="G99" s="194" t="str">
        <f t="shared" si="3"/>
        <v/>
      </c>
      <c r="H99" s="192"/>
    </row>
    <row r="100" ht="15.75" customHeight="1">
      <c r="A100" s="192"/>
      <c r="B100" s="192"/>
      <c r="C100" s="192"/>
      <c r="D100" s="192"/>
      <c r="E100" s="192"/>
      <c r="F100" s="192"/>
      <c r="G100" s="194" t="str">
        <f t="shared" si="3"/>
        <v/>
      </c>
      <c r="H100" s="192"/>
    </row>
    <row r="101" ht="15.75" customHeight="1">
      <c r="A101" s="192"/>
      <c r="B101" s="192"/>
      <c r="C101" s="192"/>
      <c r="D101" s="192"/>
      <c r="E101" s="192"/>
      <c r="F101" s="192"/>
      <c r="G101" s="194" t="str">
        <f t="shared" si="3"/>
        <v/>
      </c>
      <c r="H101" s="192"/>
    </row>
    <row r="102" ht="15.75" customHeight="1">
      <c r="A102" s="192"/>
      <c r="B102" s="192"/>
      <c r="C102" s="192"/>
      <c r="D102" s="192"/>
      <c r="E102" s="192"/>
      <c r="F102" s="192"/>
      <c r="G102" s="194" t="str">
        <f t="shared" si="3"/>
        <v/>
      </c>
      <c r="H102" s="192"/>
    </row>
    <row r="103" ht="15.75" customHeight="1">
      <c r="A103" s="192"/>
      <c r="B103" s="192"/>
      <c r="C103" s="192"/>
      <c r="D103" s="192"/>
      <c r="E103" s="192"/>
      <c r="F103" s="192"/>
      <c r="G103" s="194" t="str">
        <f t="shared" si="3"/>
        <v/>
      </c>
      <c r="H103" s="192"/>
    </row>
    <row r="104" ht="15.75" customHeight="1">
      <c r="A104" s="192"/>
      <c r="B104" s="192"/>
      <c r="C104" s="192"/>
      <c r="D104" s="192"/>
      <c r="E104" s="192"/>
      <c r="F104" s="192"/>
      <c r="G104" s="194" t="str">
        <f t="shared" si="3"/>
        <v/>
      </c>
      <c r="H104" s="192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G1:I1"/>
    <mergeCell ref="C2:D2"/>
    <mergeCell ref="E2:G2"/>
    <mergeCell ref="H2:I2"/>
    <mergeCell ref="C3:D3"/>
    <mergeCell ref="E3:G3"/>
    <mergeCell ref="H3:I3"/>
  </mergeCells>
  <dataValidations>
    <dataValidation type="list" allowBlank="1" sqref="A5:A100">
      <formula1>'Thông tin lớp học'!$A$10:$A$15</formula1>
    </dataValidation>
    <dataValidation type="list" allowBlank="1" sqref="A101:A104">
      <formula1>'Thông tin lớp học'!$A$10:$A$29</formula1>
    </dataValidation>
  </dataValidations>
  <hyperlinks>
    <hyperlink display="⌂ Về Dashboard" location="Dashboard!A1" ref="G1"/>
  </hyperlink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4F4"/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4.43" defaultRowHeight="15.0"/>
  <cols>
    <col customWidth="1" min="1" max="1" width="37.0"/>
    <col customWidth="1" min="2" max="2" width="12.0"/>
    <col customWidth="1" min="3" max="3" width="6.57"/>
    <col customWidth="1" min="4" max="4" width="7.14"/>
    <col customWidth="1" min="5" max="5" width="16.57"/>
    <col customWidth="1" min="6" max="20" width="7.57"/>
    <col customWidth="1" min="21" max="35" width="6.57"/>
  </cols>
  <sheetData>
    <row r="1" ht="30.0" customHeight="1">
      <c r="A1" s="209" t="s">
        <v>302</v>
      </c>
      <c r="B1" s="3"/>
      <c r="C1" s="3"/>
      <c r="D1" s="3"/>
      <c r="E1" s="223" t="s">
        <v>2</v>
      </c>
      <c r="F1" s="224" t="s">
        <v>303</v>
      </c>
      <c r="G1" s="224" t="s">
        <v>303</v>
      </c>
      <c r="H1" s="224" t="s">
        <v>303</v>
      </c>
      <c r="I1" s="224" t="s">
        <v>303</v>
      </c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2" t="s">
        <v>304</v>
      </c>
      <c r="B3" s="226">
        <f>'Thông tin lớp học'!B3</f>
        <v>46258</v>
      </c>
      <c r="C3" s="16"/>
      <c r="D3" s="227" t="s">
        <v>305</v>
      </c>
      <c r="E3" s="16"/>
      <c r="F3" s="228" t="s">
        <v>306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2" t="s">
        <v>307</v>
      </c>
      <c r="B4" s="226">
        <f>'Thông tin lớp học'!B4</f>
        <v>46362</v>
      </c>
      <c r="C4" s="16"/>
      <c r="D4" s="229" t="str">
        <f>IFERROR(__xludf.DUMMYFUNCTION("IF(COUNTIFS($E$7:$E$12, ""&lt;0,8"", $E$7:$E$12, ""&gt;0"")=0, ""✅ An toàn"", ""⚠️ "" &amp; TEXTJOIN("", "", TRUE, FILTER($A$7:$A$12, $E$7:$E$12&lt;0.8, $E$7:$E$12&gt;0)) &amp; "": "" &amp; TEXT(INDEX(FILTER($E$7:$E$12, $E$7:$E$12&lt;0.8, $E$7:$E$12&gt;0), 1), ""0%"") &amp; "" (&lt; 80%)"")"),"⚠️ Tiếng Anh giao tiếp: 67% (&lt; 80%)")</f>
        <v>⚠️ Tiếng Anh giao tiếp: 67% (&lt; 80%)</v>
      </c>
      <c r="E4" s="1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ht="18.0" customHeight="1">
      <c r="A5" s="7"/>
      <c r="B5" s="7"/>
      <c r="C5" s="7"/>
      <c r="D5" s="7"/>
      <c r="E5" s="7"/>
      <c r="F5" s="230" t="s">
        <v>308</v>
      </c>
      <c r="G5" s="230" t="s">
        <v>309</v>
      </c>
      <c r="H5" s="230" t="s">
        <v>310</v>
      </c>
      <c r="I5" s="230" t="s">
        <v>311</v>
      </c>
      <c r="J5" s="230" t="s">
        <v>312</v>
      </c>
      <c r="K5" s="230" t="s">
        <v>313</v>
      </c>
      <c r="L5" s="230" t="s">
        <v>314</v>
      </c>
      <c r="M5" s="230" t="s">
        <v>315</v>
      </c>
      <c r="N5" s="230" t="s">
        <v>316</v>
      </c>
      <c r="O5" s="230" t="s">
        <v>317</v>
      </c>
      <c r="P5" s="230" t="s">
        <v>318</v>
      </c>
      <c r="Q5" s="230" t="s">
        <v>319</v>
      </c>
      <c r="R5" s="230" t="s">
        <v>320</v>
      </c>
      <c r="S5" s="230" t="s">
        <v>321</v>
      </c>
      <c r="T5" s="230" t="s">
        <v>322</v>
      </c>
      <c r="U5" s="230" t="s">
        <v>323</v>
      </c>
      <c r="V5" s="230" t="s">
        <v>324</v>
      </c>
      <c r="W5" s="230" t="s">
        <v>325</v>
      </c>
      <c r="X5" s="230" t="s">
        <v>326</v>
      </c>
      <c r="Y5" s="230" t="s">
        <v>327</v>
      </c>
      <c r="Z5" s="231" t="s">
        <v>328</v>
      </c>
      <c r="AA5" s="231" t="s">
        <v>329</v>
      </c>
      <c r="AB5" s="231" t="s">
        <v>330</v>
      </c>
      <c r="AC5" s="231" t="s">
        <v>331</v>
      </c>
      <c r="AD5" s="231" t="s">
        <v>332</v>
      </c>
      <c r="AE5" s="231" t="s">
        <v>333</v>
      </c>
      <c r="AF5" s="231" t="s">
        <v>334</v>
      </c>
      <c r="AG5" s="231" t="s">
        <v>335</v>
      </c>
      <c r="AH5" s="231" t="s">
        <v>336</v>
      </c>
      <c r="AI5" s="231" t="s">
        <v>337</v>
      </c>
    </row>
    <row r="6" ht="27.75" customHeight="1">
      <c r="A6" s="28" t="s">
        <v>32</v>
      </c>
      <c r="B6" s="28" t="s">
        <v>188</v>
      </c>
      <c r="C6" s="28" t="s">
        <v>189</v>
      </c>
      <c r="D6" s="28" t="s">
        <v>338</v>
      </c>
      <c r="E6" s="28" t="s">
        <v>191</v>
      </c>
      <c r="F6" s="232">
        <f>$B$3+0</f>
        <v>46258</v>
      </c>
      <c r="G6" s="232">
        <f>$B$3+7</f>
        <v>46265</v>
      </c>
      <c r="H6" s="232">
        <f>$B$3+14</f>
        <v>46272</v>
      </c>
      <c r="I6" s="232">
        <f>$B$3+21</f>
        <v>46279</v>
      </c>
      <c r="J6" s="232">
        <f>$B$3+28</f>
        <v>46286</v>
      </c>
      <c r="K6" s="232">
        <f>$B$3+35</f>
        <v>46293</v>
      </c>
      <c r="L6" s="232">
        <f>$B$3+42</f>
        <v>46300</v>
      </c>
      <c r="M6" s="232">
        <f>$B$3+49</f>
        <v>46307</v>
      </c>
      <c r="N6" s="232">
        <f>$B$3+56</f>
        <v>46314</v>
      </c>
      <c r="O6" s="232">
        <f>$B$3+63</f>
        <v>46321</v>
      </c>
      <c r="P6" s="232">
        <f>$B$3+70</f>
        <v>46328</v>
      </c>
      <c r="Q6" s="232">
        <f>$B$3+77</f>
        <v>46335</v>
      </c>
      <c r="R6" s="232">
        <f>$B$3+84</f>
        <v>46342</v>
      </c>
      <c r="S6" s="232">
        <f>$B$3+91</f>
        <v>46349</v>
      </c>
      <c r="T6" s="232">
        <f>$B$3+98</f>
        <v>46356</v>
      </c>
      <c r="U6" s="232">
        <f>$B$3+105</f>
        <v>46363</v>
      </c>
      <c r="V6" s="232">
        <f>$B$3+112</f>
        <v>46370</v>
      </c>
      <c r="W6" s="232">
        <f>$B$3+119</f>
        <v>46377</v>
      </c>
      <c r="X6" s="232">
        <f>$B$3+126</f>
        <v>46384</v>
      </c>
      <c r="Y6" s="232">
        <f>$B$3+133</f>
        <v>46391</v>
      </c>
      <c r="Z6" s="233">
        <f>$B$3+140</f>
        <v>46398</v>
      </c>
      <c r="AA6" s="233">
        <f>$B$3+147</f>
        <v>46405</v>
      </c>
      <c r="AB6" s="233">
        <f>$B$3+154</f>
        <v>46412</v>
      </c>
      <c r="AC6" s="233">
        <f>$B$3+161</f>
        <v>46419</v>
      </c>
      <c r="AD6" s="233">
        <f>$B$3+168</f>
        <v>46426</v>
      </c>
      <c r="AE6" s="233">
        <f>$B$3+175</f>
        <v>46433</v>
      </c>
      <c r="AF6" s="233">
        <f>$B$3+182</f>
        <v>46440</v>
      </c>
      <c r="AG6" s="233">
        <f>$B$3+189</f>
        <v>46447</v>
      </c>
      <c r="AH6" s="233">
        <f>$B$3+196</f>
        <v>46454</v>
      </c>
      <c r="AI6" s="233">
        <f>$B$3+203</f>
        <v>46461</v>
      </c>
    </row>
    <row r="7" ht="18.0" customHeight="1">
      <c r="A7" s="181" t="str">
        <f>IF('Thông tin lớp học'!A10="","",'Thông tin lớp học'!A10)</f>
        <v>Tâm lý học</v>
      </c>
      <c r="B7" s="181">
        <f t="shared" ref="B7:B12" si="1">IF($A7="","",COUNTIF($F7:$AI7,"✔"))</f>
        <v>6</v>
      </c>
      <c r="C7" s="181">
        <f t="shared" ref="C7:C12" si="2">IF($A7="","",COUNTIF($F7:$AI7,"✘"))</f>
        <v>1</v>
      </c>
      <c r="D7" s="181">
        <f t="shared" ref="D7:D12" si="3">IF($A7="","",COUNTIF($F7:$AI7,"⏳"))</f>
        <v>0</v>
      </c>
      <c r="E7" s="184">
        <f t="shared" ref="E7:E12" si="4">IF($A7="","",IF(SUM(B7:D7)=0,"",(B7+D7)/SUM(B7:D7)))</f>
        <v>0.8571428571</v>
      </c>
      <c r="F7" s="234" t="s">
        <v>339</v>
      </c>
      <c r="G7" s="234" t="s">
        <v>339</v>
      </c>
      <c r="H7" s="234" t="s">
        <v>340</v>
      </c>
      <c r="I7" s="234" t="s">
        <v>339</v>
      </c>
      <c r="J7" s="234" t="s">
        <v>339</v>
      </c>
      <c r="K7" s="234" t="s">
        <v>339</v>
      </c>
      <c r="L7" s="235" t="s">
        <v>339</v>
      </c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</row>
    <row r="8" ht="18.0" customHeight="1">
      <c r="A8" s="181" t="str">
        <f>IF('Thông tin lớp học'!A11="","",'Thông tin lớp học'!A11)</f>
        <v>Toán cao cấp</v>
      </c>
      <c r="B8" s="181">
        <f t="shared" si="1"/>
        <v>6</v>
      </c>
      <c r="C8" s="181">
        <f t="shared" si="2"/>
        <v>0</v>
      </c>
      <c r="D8" s="181">
        <f t="shared" si="3"/>
        <v>1</v>
      </c>
      <c r="E8" s="184">
        <f t="shared" si="4"/>
        <v>1</v>
      </c>
      <c r="F8" s="234" t="s">
        <v>339</v>
      </c>
      <c r="G8" s="234" t="s">
        <v>339</v>
      </c>
      <c r="H8" s="234" t="s">
        <v>339</v>
      </c>
      <c r="I8" s="234" t="s">
        <v>341</v>
      </c>
      <c r="J8" s="234" t="s">
        <v>339</v>
      </c>
      <c r="K8" s="234" t="s">
        <v>339</v>
      </c>
      <c r="L8" s="235" t="s">
        <v>339</v>
      </c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</row>
    <row r="9" ht="18.0" customHeight="1">
      <c r="A9" s="181" t="str">
        <f>IF('Thông tin lớp học'!A12="","",'Thông tin lớp học'!A12)</f>
        <v>Tiếng Anh giao tiếp</v>
      </c>
      <c r="B9" s="181">
        <f t="shared" si="1"/>
        <v>3</v>
      </c>
      <c r="C9" s="181">
        <f t="shared" si="2"/>
        <v>2</v>
      </c>
      <c r="D9" s="181">
        <f t="shared" si="3"/>
        <v>1</v>
      </c>
      <c r="E9" s="184">
        <f t="shared" si="4"/>
        <v>0.6666666667</v>
      </c>
      <c r="F9" s="234" t="s">
        <v>339</v>
      </c>
      <c r="G9" s="234" t="s">
        <v>341</v>
      </c>
      <c r="H9" s="234" t="s">
        <v>339</v>
      </c>
      <c r="I9" s="234" t="s">
        <v>339</v>
      </c>
      <c r="J9" s="234" t="s">
        <v>340</v>
      </c>
      <c r="K9" s="234" t="s">
        <v>340</v>
      </c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</row>
    <row r="10" ht="18.0" customHeight="1">
      <c r="A10" s="181" t="str">
        <f>IF('Thông tin lớp học'!A13="","",'Thông tin lớp học'!A13)</f>
        <v>Lập trình C++</v>
      </c>
      <c r="B10" s="181">
        <f t="shared" si="1"/>
        <v>6</v>
      </c>
      <c r="C10" s="181">
        <f t="shared" si="2"/>
        <v>0</v>
      </c>
      <c r="D10" s="181">
        <f t="shared" si="3"/>
        <v>0</v>
      </c>
      <c r="E10" s="184">
        <f t="shared" si="4"/>
        <v>1</v>
      </c>
      <c r="F10" s="234" t="s">
        <v>339</v>
      </c>
      <c r="G10" s="234" t="s">
        <v>339</v>
      </c>
      <c r="H10" s="234" t="s">
        <v>339</v>
      </c>
      <c r="I10" s="234" t="s">
        <v>339</v>
      </c>
      <c r="J10" s="234" t="s">
        <v>339</v>
      </c>
      <c r="K10" s="234" t="s">
        <v>339</v>
      </c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</row>
    <row r="11" ht="18.0" customHeight="1">
      <c r="A11" s="181" t="str">
        <f>IF('Thông tin lớp học'!A14="","",'Thông tin lớp học'!A14)</f>
        <v>Triết học Mác-Lênin</v>
      </c>
      <c r="B11" s="181">
        <f t="shared" si="1"/>
        <v>5</v>
      </c>
      <c r="C11" s="181">
        <f t="shared" si="2"/>
        <v>0</v>
      </c>
      <c r="D11" s="181">
        <f t="shared" si="3"/>
        <v>1</v>
      </c>
      <c r="E11" s="184">
        <f t="shared" si="4"/>
        <v>1</v>
      </c>
      <c r="F11" s="234" t="s">
        <v>339</v>
      </c>
      <c r="G11" s="234" t="s">
        <v>339</v>
      </c>
      <c r="H11" s="234" t="s">
        <v>339</v>
      </c>
      <c r="I11" s="234" t="s">
        <v>339</v>
      </c>
      <c r="J11" s="234" t="s">
        <v>339</v>
      </c>
      <c r="K11" s="234" t="s">
        <v>341</v>
      </c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</row>
    <row r="12" ht="18.0" customHeight="1">
      <c r="A12" s="181" t="str">
        <f>IF('Thông tin lớp học'!A15="","",'Thông tin lớp học'!A15)</f>
        <v>Kỹ năng mềm</v>
      </c>
      <c r="B12" s="181">
        <f t="shared" si="1"/>
        <v>6</v>
      </c>
      <c r="C12" s="181">
        <f t="shared" si="2"/>
        <v>0</v>
      </c>
      <c r="D12" s="181">
        <f t="shared" si="3"/>
        <v>0</v>
      </c>
      <c r="E12" s="184">
        <f t="shared" si="4"/>
        <v>1</v>
      </c>
      <c r="F12" s="234" t="s">
        <v>339</v>
      </c>
      <c r="G12" s="234" t="s">
        <v>339</v>
      </c>
      <c r="H12" s="234" t="s">
        <v>339</v>
      </c>
      <c r="I12" s="234" t="s">
        <v>339</v>
      </c>
      <c r="J12" s="234" t="s">
        <v>339</v>
      </c>
      <c r="K12" s="234" t="s">
        <v>339</v>
      </c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</row>
    <row r="13" ht="18.0" customHeight="1">
      <c r="A13" s="236" t="s">
        <v>342</v>
      </c>
      <c r="B13" s="237">
        <f t="shared" ref="B13:D13" si="5">SUM(B7:B12)</f>
        <v>32</v>
      </c>
      <c r="C13" s="237">
        <f t="shared" si="5"/>
        <v>3</v>
      </c>
      <c r="D13" s="237">
        <f t="shared" si="5"/>
        <v>3</v>
      </c>
      <c r="E13" s="238">
        <f>IF(SUM(B13:D13)=0,0,(B13+D13)/SUM(B13:D13))</f>
        <v>0.9210526316</v>
      </c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6">
    <mergeCell ref="A1:D1"/>
    <mergeCell ref="B3:C3"/>
    <mergeCell ref="D3:E3"/>
    <mergeCell ref="F3:T3"/>
    <mergeCell ref="B4:C4"/>
    <mergeCell ref="D4:E4"/>
  </mergeCells>
  <conditionalFormatting sqref="D4:E4">
    <cfRule type="containsText" dxfId="17" priority="1" stopIfTrue="1" operator="containsText" text="⚠️">
      <formula>NOT(ISERROR(SEARCH(("⚠️"),(D4))))</formula>
    </cfRule>
  </conditionalFormatting>
  <conditionalFormatting sqref="D4:E4">
    <cfRule type="containsText" dxfId="18" priority="2" stopIfTrue="1" operator="containsText" text="An toàn">
      <formula>NOT(ISERROR(SEARCH(("An toàn"),(D4))))</formula>
    </cfRule>
  </conditionalFormatting>
  <conditionalFormatting sqref="A7:E12">
    <cfRule type="expression" dxfId="17" priority="3" stopIfTrue="1">
      <formula>AND(ISNUMBER($E7),$E7&lt;0.8,$E7&gt;0)</formula>
    </cfRule>
  </conditionalFormatting>
  <conditionalFormatting sqref="F7:AI13">
    <cfRule type="expression" dxfId="19" priority="4">
      <formula>F7="✔"</formula>
    </cfRule>
  </conditionalFormatting>
  <conditionalFormatting sqref="F7:AI13">
    <cfRule type="expression" dxfId="20" priority="5">
      <formula>F7="✘"</formula>
    </cfRule>
  </conditionalFormatting>
  <conditionalFormatting sqref="F7:AI13">
    <cfRule type="expression" dxfId="21" priority="6">
      <formula>F7="⏳"</formula>
    </cfRule>
  </conditionalFormatting>
  <conditionalFormatting sqref="E7:E13">
    <cfRule type="expression" dxfId="15" priority="7">
      <formula>AND(ISNUMBER(E7),E7&lt;0.8)</formula>
    </cfRule>
  </conditionalFormatting>
  <dataValidations>
    <dataValidation type="list" allowBlank="1" sqref="F7:AI12">
      <formula1>"✔,✘,⏳"</formula1>
    </dataValidation>
  </dataValidations>
  <hyperlinks>
    <hyperlink display="⌂ Về Dashboard" location="Dashboard!A1" ref="E1"/>
  </hyperlink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B26B"/>
    <pageSetUpPr/>
  </sheetPr>
  <sheetViews>
    <sheetView workbookViewId="0">
      <pane ySplit="25.0" topLeftCell="A26" activePane="bottomLeft" state="frozen"/>
      <selection activeCell="B27" sqref="B27" pane="bottomLeft"/>
    </sheetView>
  </sheetViews>
  <sheetFormatPr customHeight="1" defaultColWidth="14.43" defaultRowHeight="15.0"/>
  <cols>
    <col customWidth="1" min="1" max="1" width="40.0"/>
    <col customWidth="1" min="2" max="32" width="4.43"/>
    <col customWidth="1" min="33" max="34" width="11.0"/>
    <col customWidth="1" min="35" max="35" width="16.57"/>
    <col customWidth="1" min="36" max="36" width="2.0"/>
    <col customWidth="1" hidden="1" min="37" max="67" width="13.0"/>
  </cols>
  <sheetData>
    <row r="1" ht="30.0" customHeight="1">
      <c r="A1" s="239" t="s">
        <v>343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80"/>
      <c r="AI1" s="240" t="s">
        <v>2</v>
      </c>
      <c r="AJ1" s="225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ht="15.0" customHeight="1">
      <c r="A3" s="12" t="s">
        <v>266</v>
      </c>
      <c r="B3" s="241">
        <v>2026.0</v>
      </c>
      <c r="C3" s="15"/>
      <c r="D3" s="16"/>
      <c r="E3" s="7"/>
      <c r="F3" s="17" t="s">
        <v>345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243" t="s">
        <v>346</v>
      </c>
      <c r="AH3" s="3"/>
      <c r="AI3" s="214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ht="31.5" customHeight="1">
      <c r="A4" s="12" t="s">
        <v>268</v>
      </c>
      <c r="B4" s="241">
        <v>10.0</v>
      </c>
      <c r="C4" s="15"/>
      <c r="D4" s="1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245">
        <f>COUNTIF(B26:AF40,TRUE)+COUNTIF(B26:AF40,"✔")</f>
        <v>42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>
      <c r="A5" s="246" t="s">
        <v>351</v>
      </c>
      <c r="B5" s="248" t="str">
        <f t="shared" ref="B5:AF5" si="1">IF(B$24="","",IF(B$6&gt;=0.8,"🌵",IF(B$6&gt;0,"🌱","")))</f>
        <v>🌱</v>
      </c>
      <c r="C5" s="248" t="str">
        <f t="shared" si="1"/>
        <v>🌵</v>
      </c>
      <c r="D5" s="248" t="str">
        <f t="shared" si="1"/>
        <v>🌵</v>
      </c>
      <c r="E5" s="248" t="str">
        <f t="shared" si="1"/>
        <v/>
      </c>
      <c r="F5" s="248" t="str">
        <f t="shared" si="1"/>
        <v>🌵</v>
      </c>
      <c r="G5" s="248" t="str">
        <f t="shared" si="1"/>
        <v/>
      </c>
      <c r="H5" s="248" t="str">
        <f t="shared" si="1"/>
        <v/>
      </c>
      <c r="I5" s="248" t="str">
        <f t="shared" si="1"/>
        <v/>
      </c>
      <c r="J5" s="248" t="str">
        <f t="shared" si="1"/>
        <v/>
      </c>
      <c r="K5" s="248" t="str">
        <f t="shared" si="1"/>
        <v/>
      </c>
      <c r="L5" s="248" t="str">
        <f t="shared" si="1"/>
        <v/>
      </c>
      <c r="M5" s="248" t="str">
        <f t="shared" si="1"/>
        <v/>
      </c>
      <c r="N5" s="248" t="str">
        <f t="shared" si="1"/>
        <v/>
      </c>
      <c r="O5" s="248" t="str">
        <f t="shared" si="1"/>
        <v/>
      </c>
      <c r="P5" s="248" t="str">
        <f t="shared" si="1"/>
        <v/>
      </c>
      <c r="Q5" s="248" t="str">
        <f t="shared" si="1"/>
        <v/>
      </c>
      <c r="R5" s="248" t="str">
        <f t="shared" si="1"/>
        <v/>
      </c>
      <c r="S5" s="248" t="str">
        <f t="shared" si="1"/>
        <v/>
      </c>
      <c r="T5" s="248" t="str">
        <f t="shared" si="1"/>
        <v/>
      </c>
      <c r="U5" s="248" t="str">
        <f t="shared" si="1"/>
        <v/>
      </c>
      <c r="V5" s="248" t="str">
        <f t="shared" si="1"/>
        <v/>
      </c>
      <c r="W5" s="248" t="str">
        <f t="shared" si="1"/>
        <v/>
      </c>
      <c r="X5" s="248" t="str">
        <f t="shared" si="1"/>
        <v/>
      </c>
      <c r="Y5" s="248" t="str">
        <f t="shared" si="1"/>
        <v/>
      </c>
      <c r="Z5" s="248" t="str">
        <f t="shared" si="1"/>
        <v/>
      </c>
      <c r="AA5" s="248" t="str">
        <f t="shared" si="1"/>
        <v/>
      </c>
      <c r="AB5" s="248" t="str">
        <f t="shared" si="1"/>
        <v/>
      </c>
      <c r="AC5" s="248" t="str">
        <f t="shared" si="1"/>
        <v/>
      </c>
      <c r="AD5" s="248" t="str">
        <f t="shared" si="1"/>
        <v/>
      </c>
      <c r="AE5" s="248" t="str">
        <f t="shared" si="1"/>
        <v/>
      </c>
      <c r="AF5" s="248" t="str">
        <f t="shared" si="1"/>
        <v/>
      </c>
      <c r="AG5" s="251"/>
      <c r="AH5" s="251"/>
      <c r="AI5" s="251"/>
      <c r="AJ5" s="251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>
      <c r="A6" s="252" t="s">
        <v>353</v>
      </c>
      <c r="B6" s="254">
        <f t="shared" ref="B6:AF6" si="2">IF(OR(B$24="",COUNTA($A$26:$A$40)=0),"",(COUNTIF(B$26:B$40,TRUE)+COUNTIF(B$26:B$40,"✔"))/COUNTA($A$26:$A$40))</f>
        <v>0.75</v>
      </c>
      <c r="C6" s="254">
        <f t="shared" si="2"/>
        <v>0.8333333333</v>
      </c>
      <c r="D6" s="254">
        <f t="shared" si="2"/>
        <v>0.9166666667</v>
      </c>
      <c r="E6" s="254">
        <f t="shared" si="2"/>
        <v>0</v>
      </c>
      <c r="F6" s="254">
        <f t="shared" si="2"/>
        <v>1</v>
      </c>
      <c r="G6" s="254">
        <f t="shared" si="2"/>
        <v>0</v>
      </c>
      <c r="H6" s="254">
        <f t="shared" si="2"/>
        <v>0</v>
      </c>
      <c r="I6" s="254">
        <f t="shared" si="2"/>
        <v>0</v>
      </c>
      <c r="J6" s="254">
        <f t="shared" si="2"/>
        <v>0</v>
      </c>
      <c r="K6" s="254">
        <f t="shared" si="2"/>
        <v>0</v>
      </c>
      <c r="L6" s="254">
        <f t="shared" si="2"/>
        <v>0</v>
      </c>
      <c r="M6" s="254">
        <f t="shared" si="2"/>
        <v>0</v>
      </c>
      <c r="N6" s="254">
        <f t="shared" si="2"/>
        <v>0</v>
      </c>
      <c r="O6" s="254">
        <f t="shared" si="2"/>
        <v>0</v>
      </c>
      <c r="P6" s="254">
        <f t="shared" si="2"/>
        <v>0</v>
      </c>
      <c r="Q6" s="254">
        <f t="shared" si="2"/>
        <v>0</v>
      </c>
      <c r="R6" s="254">
        <f t="shared" si="2"/>
        <v>0</v>
      </c>
      <c r="S6" s="254">
        <f t="shared" si="2"/>
        <v>0</v>
      </c>
      <c r="T6" s="254">
        <f t="shared" si="2"/>
        <v>0</v>
      </c>
      <c r="U6" s="254">
        <f t="shared" si="2"/>
        <v>0</v>
      </c>
      <c r="V6" s="254">
        <f t="shared" si="2"/>
        <v>0</v>
      </c>
      <c r="W6" s="254">
        <f t="shared" si="2"/>
        <v>0</v>
      </c>
      <c r="X6" s="254">
        <f t="shared" si="2"/>
        <v>0</v>
      </c>
      <c r="Y6" s="254">
        <f t="shared" si="2"/>
        <v>0</v>
      </c>
      <c r="Z6" s="254">
        <f t="shared" si="2"/>
        <v>0</v>
      </c>
      <c r="AA6" s="254">
        <f t="shared" si="2"/>
        <v>0</v>
      </c>
      <c r="AB6" s="254">
        <f t="shared" si="2"/>
        <v>0</v>
      </c>
      <c r="AC6" s="254">
        <f t="shared" si="2"/>
        <v>0</v>
      </c>
      <c r="AD6" s="254">
        <f t="shared" si="2"/>
        <v>0</v>
      </c>
      <c r="AE6" s="254">
        <f t="shared" si="2"/>
        <v>0</v>
      </c>
      <c r="AF6" s="254">
        <f t="shared" si="2"/>
        <v>0</v>
      </c>
      <c r="AG6" s="256"/>
      <c r="AH6" s="256"/>
      <c r="AI6" s="256"/>
      <c r="AJ6" s="256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259">
        <f>IF(AND($B$3=YEAR(TODAY()),$B$4=MONTH(TODAY())),DAY(TODAY()),DAY(EOMONTH(DATE($B$3,$B$4,1),0)))</f>
        <v>11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ht="15.0" customHeight="1">
      <c r="A24" s="260" t="s">
        <v>373</v>
      </c>
      <c r="B24" s="261">
        <f>IF(1&lt;=DAY(EOMONTH(DATE($B$3,$B$4,1),0)),1,"")</f>
        <v>1</v>
      </c>
      <c r="C24" s="261">
        <f>IF(2&lt;=DAY(EOMONTH(DATE($B$3,$B$4,1),0)),2,"")</f>
        <v>2</v>
      </c>
      <c r="D24" s="261">
        <f>IF(3&lt;=DAY(EOMONTH(DATE($B$3,$B$4,1),0)),3,"")</f>
        <v>3</v>
      </c>
      <c r="E24" s="261">
        <f>IF(4&lt;=DAY(EOMONTH(DATE($B$3,$B$4,1),0)),4,"")</f>
        <v>4</v>
      </c>
      <c r="F24" s="261">
        <f>IF(5&lt;=DAY(EOMONTH(DATE($B$3,$B$4,1),0)),5,"")</f>
        <v>5</v>
      </c>
      <c r="G24" s="261">
        <f>IF(6&lt;=DAY(EOMONTH(DATE($B$3,$B$4,1),0)),6,"")</f>
        <v>6</v>
      </c>
      <c r="H24" s="261">
        <f>IF(7&lt;=DAY(EOMONTH(DATE($B$3,$B$4,1),0)),7,"")</f>
        <v>7</v>
      </c>
      <c r="I24" s="261">
        <f>IF(8&lt;=DAY(EOMONTH(DATE($B$3,$B$4,1),0)),8,"")</f>
        <v>8</v>
      </c>
      <c r="J24" s="261">
        <f>IF(9&lt;=DAY(EOMONTH(DATE($B$3,$B$4,1),0)),9,"")</f>
        <v>9</v>
      </c>
      <c r="K24" s="261">
        <f>IF(10&lt;=DAY(EOMONTH(DATE($B$3,$B$4,1),0)),10,"")</f>
        <v>10</v>
      </c>
      <c r="L24" s="261">
        <f>IF(11&lt;=DAY(EOMONTH(DATE($B$3,$B$4,1),0)),11,"")</f>
        <v>11</v>
      </c>
      <c r="M24" s="261">
        <f>IF(12&lt;=DAY(EOMONTH(DATE($B$3,$B$4,1),0)),12,"")</f>
        <v>12</v>
      </c>
      <c r="N24" s="261">
        <f>IF(13&lt;=DAY(EOMONTH(DATE($B$3,$B$4,1),0)),13,"")</f>
        <v>13</v>
      </c>
      <c r="O24" s="261">
        <f>IF(14&lt;=DAY(EOMONTH(DATE($B$3,$B$4,1),0)),14,"")</f>
        <v>14</v>
      </c>
      <c r="P24" s="261">
        <f>IF(15&lt;=DAY(EOMONTH(DATE($B$3,$B$4,1),0)),15,"")</f>
        <v>15</v>
      </c>
      <c r="Q24" s="261">
        <f>IF(16&lt;=DAY(EOMONTH(DATE($B$3,$B$4,1),0)),16,"")</f>
        <v>16</v>
      </c>
      <c r="R24" s="261">
        <f>IF(17&lt;=DAY(EOMONTH(DATE($B$3,$B$4,1),0)),17,"")</f>
        <v>17</v>
      </c>
      <c r="S24" s="261">
        <f>IF(18&lt;=DAY(EOMONTH(DATE($B$3,$B$4,1),0)),18,"")</f>
        <v>18</v>
      </c>
      <c r="T24" s="261">
        <f>IF(19&lt;=DAY(EOMONTH(DATE($B$3,$B$4,1),0)),19,"")</f>
        <v>19</v>
      </c>
      <c r="U24" s="261">
        <f>IF(20&lt;=DAY(EOMONTH(DATE($B$3,$B$4,1),0)),20,"")</f>
        <v>20</v>
      </c>
      <c r="V24" s="261">
        <f>IF(21&lt;=DAY(EOMONTH(DATE($B$3,$B$4,1),0)),21,"")</f>
        <v>21</v>
      </c>
      <c r="W24" s="261">
        <f>IF(22&lt;=DAY(EOMONTH(DATE($B$3,$B$4,1),0)),22,"")</f>
        <v>22</v>
      </c>
      <c r="X24" s="261">
        <f>IF(23&lt;=DAY(EOMONTH(DATE($B$3,$B$4,1),0)),23,"")</f>
        <v>23</v>
      </c>
      <c r="Y24" s="261">
        <f>IF(24&lt;=DAY(EOMONTH(DATE($B$3,$B$4,1),0)),24,"")</f>
        <v>24</v>
      </c>
      <c r="Z24" s="261">
        <f>IF(25&lt;=DAY(EOMONTH(DATE($B$3,$B$4,1),0)),25,"")</f>
        <v>25</v>
      </c>
      <c r="AA24" s="261">
        <f>IF(26&lt;=DAY(EOMONTH(DATE($B$3,$B$4,1),0)),26,"")</f>
        <v>26</v>
      </c>
      <c r="AB24" s="261">
        <f>IF(27&lt;=DAY(EOMONTH(DATE($B$3,$B$4,1),0)),27,"")</f>
        <v>27</v>
      </c>
      <c r="AC24" s="261">
        <f>IF(28&lt;=DAY(EOMONTH(DATE($B$3,$B$4,1),0)),28,"")</f>
        <v>28</v>
      </c>
      <c r="AD24" s="261">
        <f>IF(29&lt;=DAY(EOMONTH(DATE($B$3,$B$4,1),0)),29,"")</f>
        <v>29</v>
      </c>
      <c r="AE24" s="261">
        <f>IF(30&lt;=DAY(EOMONTH(DATE($B$3,$B$4,1),0)),30,"")</f>
        <v>30</v>
      </c>
      <c r="AF24" s="261">
        <f>IF(31&lt;=DAY(EOMONTH(DATE($B$3,$B$4,1),0)),31,"")</f>
        <v>31</v>
      </c>
      <c r="AG24" s="260" t="s">
        <v>374</v>
      </c>
      <c r="AH24" s="260" t="s">
        <v>375</v>
      </c>
      <c r="AI24" s="260" t="s">
        <v>376</v>
      </c>
      <c r="AJ24" s="264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ht="15.75" customHeight="1">
      <c r="A25" s="134"/>
      <c r="B25" s="265" t="str">
        <f t="shared" ref="B25:AF25" si="3">IF(B24="","",CHOOSE(WEEKDAY(DATE($B$3,$B$4,B24),2),"T2","T3","T4","T5","T6","T7","CN"))</f>
        <v>T5</v>
      </c>
      <c r="C25" s="265" t="str">
        <f t="shared" si="3"/>
        <v>T6</v>
      </c>
      <c r="D25" s="265" t="str">
        <f t="shared" si="3"/>
        <v>T7</v>
      </c>
      <c r="E25" s="265" t="str">
        <f t="shared" si="3"/>
        <v>CN</v>
      </c>
      <c r="F25" s="265" t="str">
        <f t="shared" si="3"/>
        <v>T2</v>
      </c>
      <c r="G25" s="265" t="str">
        <f t="shared" si="3"/>
        <v>T3</v>
      </c>
      <c r="H25" s="265" t="str">
        <f t="shared" si="3"/>
        <v>T4</v>
      </c>
      <c r="I25" s="265" t="str">
        <f t="shared" si="3"/>
        <v>T5</v>
      </c>
      <c r="J25" s="265" t="str">
        <f t="shared" si="3"/>
        <v>T6</v>
      </c>
      <c r="K25" s="265" t="str">
        <f t="shared" si="3"/>
        <v>T7</v>
      </c>
      <c r="L25" s="265" t="str">
        <f t="shared" si="3"/>
        <v>CN</v>
      </c>
      <c r="M25" s="265" t="str">
        <f t="shared" si="3"/>
        <v>T2</v>
      </c>
      <c r="N25" s="265" t="str">
        <f t="shared" si="3"/>
        <v>T3</v>
      </c>
      <c r="O25" s="265" t="str">
        <f t="shared" si="3"/>
        <v>T4</v>
      </c>
      <c r="P25" s="265" t="str">
        <f t="shared" si="3"/>
        <v>T5</v>
      </c>
      <c r="Q25" s="265" t="str">
        <f t="shared" si="3"/>
        <v>T6</v>
      </c>
      <c r="R25" s="265" t="str">
        <f t="shared" si="3"/>
        <v>T7</v>
      </c>
      <c r="S25" s="265" t="str">
        <f t="shared" si="3"/>
        <v>CN</v>
      </c>
      <c r="T25" s="265" t="str">
        <f t="shared" si="3"/>
        <v>T2</v>
      </c>
      <c r="U25" s="265" t="str">
        <f t="shared" si="3"/>
        <v>T3</v>
      </c>
      <c r="V25" s="265" t="str">
        <f t="shared" si="3"/>
        <v>T4</v>
      </c>
      <c r="W25" s="265" t="str">
        <f t="shared" si="3"/>
        <v>T5</v>
      </c>
      <c r="X25" s="265" t="str">
        <f t="shared" si="3"/>
        <v>T6</v>
      </c>
      <c r="Y25" s="265" t="str">
        <f t="shared" si="3"/>
        <v>T7</v>
      </c>
      <c r="Z25" s="265" t="str">
        <f t="shared" si="3"/>
        <v>CN</v>
      </c>
      <c r="AA25" s="265" t="str">
        <f t="shared" si="3"/>
        <v>T2</v>
      </c>
      <c r="AB25" s="265" t="str">
        <f t="shared" si="3"/>
        <v>T3</v>
      </c>
      <c r="AC25" s="265" t="str">
        <f t="shared" si="3"/>
        <v>T4</v>
      </c>
      <c r="AD25" s="265" t="str">
        <f t="shared" si="3"/>
        <v>T5</v>
      </c>
      <c r="AE25" s="265" t="str">
        <f t="shared" si="3"/>
        <v>T6</v>
      </c>
      <c r="AF25" s="265" t="str">
        <f t="shared" si="3"/>
        <v>T7</v>
      </c>
      <c r="AG25" s="134"/>
      <c r="AH25" s="134"/>
      <c r="AI25" s="134"/>
      <c r="AJ25" s="266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ht="15.75" customHeight="1">
      <c r="A26" s="257" t="s">
        <v>377</v>
      </c>
      <c r="B26" s="235" t="b">
        <v>0</v>
      </c>
      <c r="C26" s="235" t="b">
        <v>0</v>
      </c>
      <c r="D26" s="235" t="b">
        <v>1</v>
      </c>
      <c r="E26" s="235" t="b">
        <v>0</v>
      </c>
      <c r="F26" s="235" t="b">
        <v>1</v>
      </c>
      <c r="G26" s="235" t="b">
        <v>0</v>
      </c>
      <c r="H26" s="235" t="b">
        <v>0</v>
      </c>
      <c r="I26" s="235" t="b">
        <v>0</v>
      </c>
      <c r="J26" s="235" t="b">
        <v>0</v>
      </c>
      <c r="K26" s="235" t="b">
        <v>0</v>
      </c>
      <c r="L26" s="235" t="b">
        <v>0</v>
      </c>
      <c r="M26" s="235" t="b">
        <v>0</v>
      </c>
      <c r="N26" s="235" t="b">
        <v>0</v>
      </c>
      <c r="O26" s="235" t="b">
        <v>0</v>
      </c>
      <c r="P26" s="235" t="b">
        <v>0</v>
      </c>
      <c r="Q26" s="235" t="b">
        <v>0</v>
      </c>
      <c r="R26" s="235" t="b">
        <v>0</v>
      </c>
      <c r="S26" s="235" t="b">
        <v>0</v>
      </c>
      <c r="T26" s="235" t="b">
        <v>0</v>
      </c>
      <c r="U26" s="235" t="b">
        <v>0</v>
      </c>
      <c r="V26" s="235" t="b">
        <v>0</v>
      </c>
      <c r="W26" s="235" t="b">
        <v>0</v>
      </c>
      <c r="X26" s="235" t="b">
        <v>0</v>
      </c>
      <c r="Y26" s="235" t="b">
        <v>0</v>
      </c>
      <c r="Z26" s="235" t="b">
        <v>0</v>
      </c>
      <c r="AA26" s="235" t="b">
        <v>0</v>
      </c>
      <c r="AB26" s="235" t="b">
        <v>0</v>
      </c>
      <c r="AC26" s="235" t="b">
        <v>0</v>
      </c>
      <c r="AD26" s="235" t="b">
        <v>0</v>
      </c>
      <c r="AE26" s="235" t="b">
        <v>0</v>
      </c>
      <c r="AF26" s="235" t="b">
        <v>0</v>
      </c>
      <c r="AG26" s="267">
        <f t="shared" ref="AG26:AG37" si="5">IF(A26="","",COUNTIF(B26:AF26,TRUE)+COUNTIF(B26:AF26,"✔"))</f>
        <v>2</v>
      </c>
      <c r="AH26" s="267">
        <f t="shared" ref="AH26:AH37" si="6">IF(A26="","",IF(INDEX(AK26:BO26,$AK$23)&gt;0,INDEX(AK26:BO26,$AK$23),IF($AK$23&gt;1,INDEX(AK26:BO26,$AK$23-1),0)))</f>
        <v>0</v>
      </c>
      <c r="AI26" s="267">
        <f t="shared" ref="AI26:AI37" si="7">IF(A26="","",MAX(AK26:BO26))</f>
        <v>1</v>
      </c>
      <c r="AJ26" s="7"/>
      <c r="AK26" s="259">
        <f t="shared" ref="AK26:AK37" si="8">IF(AND(B$24&lt;&gt;"",OR(B26=TRUE,B26="✔")),1,0)</f>
        <v>0</v>
      </c>
      <c r="AL26" s="259">
        <f t="shared" ref="AL26:BO26" si="4">IF(AND(C$24&lt;&gt;"",OR(C26=TRUE,C26="✔")),AK26+1,0)</f>
        <v>0</v>
      </c>
      <c r="AM26" s="259">
        <f t="shared" si="4"/>
        <v>1</v>
      </c>
      <c r="AN26" s="259">
        <f t="shared" si="4"/>
        <v>0</v>
      </c>
      <c r="AO26" s="259">
        <f t="shared" si="4"/>
        <v>1</v>
      </c>
      <c r="AP26" s="259">
        <f t="shared" si="4"/>
        <v>0</v>
      </c>
      <c r="AQ26" s="259">
        <f t="shared" si="4"/>
        <v>0</v>
      </c>
      <c r="AR26" s="259">
        <f t="shared" si="4"/>
        <v>0</v>
      </c>
      <c r="AS26" s="259">
        <f t="shared" si="4"/>
        <v>0</v>
      </c>
      <c r="AT26" s="259">
        <f t="shared" si="4"/>
        <v>0</v>
      </c>
      <c r="AU26" s="259">
        <f t="shared" si="4"/>
        <v>0</v>
      </c>
      <c r="AV26" s="259">
        <f t="shared" si="4"/>
        <v>0</v>
      </c>
      <c r="AW26" s="259">
        <f t="shared" si="4"/>
        <v>0</v>
      </c>
      <c r="AX26" s="259">
        <f t="shared" si="4"/>
        <v>0</v>
      </c>
      <c r="AY26" s="268">
        <f t="shared" si="4"/>
        <v>0</v>
      </c>
      <c r="AZ26" s="268">
        <f t="shared" si="4"/>
        <v>0</v>
      </c>
      <c r="BA26" s="268">
        <f t="shared" si="4"/>
        <v>0</v>
      </c>
      <c r="BB26" s="268">
        <f t="shared" si="4"/>
        <v>0</v>
      </c>
      <c r="BC26" s="268">
        <f t="shared" si="4"/>
        <v>0</v>
      </c>
      <c r="BD26" s="268">
        <f t="shared" si="4"/>
        <v>0</v>
      </c>
      <c r="BE26" s="268">
        <f t="shared" si="4"/>
        <v>0</v>
      </c>
      <c r="BF26" s="268">
        <f t="shared" si="4"/>
        <v>0</v>
      </c>
      <c r="BG26" s="268">
        <f t="shared" si="4"/>
        <v>0</v>
      </c>
      <c r="BH26" s="268">
        <f t="shared" si="4"/>
        <v>0</v>
      </c>
      <c r="BI26" s="268">
        <f t="shared" si="4"/>
        <v>0</v>
      </c>
      <c r="BJ26" s="268">
        <f t="shared" si="4"/>
        <v>0</v>
      </c>
      <c r="BK26" s="268">
        <f t="shared" si="4"/>
        <v>0</v>
      </c>
      <c r="BL26" s="268">
        <f t="shared" si="4"/>
        <v>0</v>
      </c>
      <c r="BM26" s="268">
        <f t="shared" si="4"/>
        <v>0</v>
      </c>
      <c r="BN26" s="268">
        <f t="shared" si="4"/>
        <v>0</v>
      </c>
      <c r="BO26" s="268">
        <f t="shared" si="4"/>
        <v>0</v>
      </c>
    </row>
    <row r="27" ht="15.75" customHeight="1">
      <c r="A27" s="257" t="s">
        <v>378</v>
      </c>
      <c r="B27" s="235" t="b">
        <v>1</v>
      </c>
      <c r="C27" s="235" t="b">
        <v>1</v>
      </c>
      <c r="D27" s="235" t="b">
        <v>1</v>
      </c>
      <c r="E27" s="235" t="b">
        <v>0</v>
      </c>
      <c r="F27" s="235" t="b">
        <v>1</v>
      </c>
      <c r="G27" s="235" t="b">
        <v>0</v>
      </c>
      <c r="H27" s="235" t="b">
        <v>0</v>
      </c>
      <c r="I27" s="235" t="b">
        <v>0</v>
      </c>
      <c r="J27" s="235" t="b">
        <v>0</v>
      </c>
      <c r="K27" s="235" t="b">
        <v>0</v>
      </c>
      <c r="L27" s="235" t="b">
        <v>0</v>
      </c>
      <c r="M27" s="235" t="b">
        <v>0</v>
      </c>
      <c r="N27" s="235" t="b">
        <v>0</v>
      </c>
      <c r="O27" s="235" t="b">
        <v>0</v>
      </c>
      <c r="P27" s="235" t="b">
        <v>0</v>
      </c>
      <c r="Q27" s="235" t="b">
        <v>0</v>
      </c>
      <c r="R27" s="235" t="b">
        <v>0</v>
      </c>
      <c r="S27" s="235" t="b">
        <v>0</v>
      </c>
      <c r="T27" s="235" t="b">
        <v>0</v>
      </c>
      <c r="U27" s="235" t="b">
        <v>0</v>
      </c>
      <c r="V27" s="235" t="b">
        <v>0</v>
      </c>
      <c r="W27" s="235" t="b">
        <v>0</v>
      </c>
      <c r="X27" s="235" t="b">
        <v>0</v>
      </c>
      <c r="Y27" s="235" t="b">
        <v>0</v>
      </c>
      <c r="Z27" s="235" t="b">
        <v>0</v>
      </c>
      <c r="AA27" s="235" t="b">
        <v>0</v>
      </c>
      <c r="AB27" s="235" t="b">
        <v>0</v>
      </c>
      <c r="AC27" s="235" t="b">
        <v>0</v>
      </c>
      <c r="AD27" s="235" t="b">
        <v>0</v>
      </c>
      <c r="AE27" s="235" t="b">
        <v>0</v>
      </c>
      <c r="AF27" s="235" t="b">
        <v>0</v>
      </c>
      <c r="AG27" s="267">
        <f t="shared" si="5"/>
        <v>4</v>
      </c>
      <c r="AH27" s="267">
        <f t="shared" si="6"/>
        <v>0</v>
      </c>
      <c r="AI27" s="267">
        <f t="shared" si="7"/>
        <v>3</v>
      </c>
      <c r="AJ27" s="7"/>
      <c r="AK27" s="259">
        <f t="shared" si="8"/>
        <v>1</v>
      </c>
      <c r="AL27" s="259">
        <f t="shared" ref="AL27:BO27" si="9">IF(AND(C$24&lt;&gt;"",OR(C27=TRUE,C27="✔")),AK27+1,0)</f>
        <v>2</v>
      </c>
      <c r="AM27" s="259">
        <f t="shared" si="9"/>
        <v>3</v>
      </c>
      <c r="AN27" s="259">
        <f t="shared" si="9"/>
        <v>0</v>
      </c>
      <c r="AO27" s="259">
        <f t="shared" si="9"/>
        <v>1</v>
      </c>
      <c r="AP27" s="259">
        <f t="shared" si="9"/>
        <v>0</v>
      </c>
      <c r="AQ27" s="259">
        <f t="shared" si="9"/>
        <v>0</v>
      </c>
      <c r="AR27" s="259">
        <f t="shared" si="9"/>
        <v>0</v>
      </c>
      <c r="AS27" s="259">
        <f t="shared" si="9"/>
        <v>0</v>
      </c>
      <c r="AT27" s="259">
        <f t="shared" si="9"/>
        <v>0</v>
      </c>
      <c r="AU27" s="259">
        <f t="shared" si="9"/>
        <v>0</v>
      </c>
      <c r="AV27" s="259">
        <f t="shared" si="9"/>
        <v>0</v>
      </c>
      <c r="AW27" s="259">
        <f t="shared" si="9"/>
        <v>0</v>
      </c>
      <c r="AX27" s="259">
        <f t="shared" si="9"/>
        <v>0</v>
      </c>
      <c r="AY27" s="268">
        <f t="shared" si="9"/>
        <v>0</v>
      </c>
      <c r="AZ27" s="268">
        <f t="shared" si="9"/>
        <v>0</v>
      </c>
      <c r="BA27" s="268">
        <f t="shared" si="9"/>
        <v>0</v>
      </c>
      <c r="BB27" s="268">
        <f t="shared" si="9"/>
        <v>0</v>
      </c>
      <c r="BC27" s="268">
        <f t="shared" si="9"/>
        <v>0</v>
      </c>
      <c r="BD27" s="268">
        <f t="shared" si="9"/>
        <v>0</v>
      </c>
      <c r="BE27" s="268">
        <f t="shared" si="9"/>
        <v>0</v>
      </c>
      <c r="BF27" s="268">
        <f t="shared" si="9"/>
        <v>0</v>
      </c>
      <c r="BG27" s="268">
        <f t="shared" si="9"/>
        <v>0</v>
      </c>
      <c r="BH27" s="268">
        <f t="shared" si="9"/>
        <v>0</v>
      </c>
      <c r="BI27" s="268">
        <f t="shared" si="9"/>
        <v>0</v>
      </c>
      <c r="BJ27" s="268">
        <f t="shared" si="9"/>
        <v>0</v>
      </c>
      <c r="BK27" s="268">
        <f t="shared" si="9"/>
        <v>0</v>
      </c>
      <c r="BL27" s="268">
        <f t="shared" si="9"/>
        <v>0</v>
      </c>
      <c r="BM27" s="268">
        <f t="shared" si="9"/>
        <v>0</v>
      </c>
      <c r="BN27" s="268">
        <f t="shared" si="9"/>
        <v>0</v>
      </c>
      <c r="BO27" s="268">
        <f t="shared" si="9"/>
        <v>0</v>
      </c>
    </row>
    <row r="28" ht="15.75" customHeight="1">
      <c r="A28" s="257" t="s">
        <v>379</v>
      </c>
      <c r="B28" s="235" t="b">
        <v>1</v>
      </c>
      <c r="C28" s="235" t="b">
        <v>1</v>
      </c>
      <c r="D28" s="235" t="b">
        <v>1</v>
      </c>
      <c r="E28" s="235" t="b">
        <v>0</v>
      </c>
      <c r="F28" s="235" t="b">
        <v>1</v>
      </c>
      <c r="G28" s="235" t="b">
        <v>0</v>
      </c>
      <c r="H28" s="235" t="b">
        <v>0</v>
      </c>
      <c r="I28" s="235" t="b">
        <v>0</v>
      </c>
      <c r="J28" s="235" t="b">
        <v>0</v>
      </c>
      <c r="K28" s="235" t="b">
        <v>0</v>
      </c>
      <c r="L28" s="235" t="b">
        <v>0</v>
      </c>
      <c r="M28" s="235" t="b">
        <v>0</v>
      </c>
      <c r="N28" s="235" t="b">
        <v>0</v>
      </c>
      <c r="O28" s="235" t="b">
        <v>0</v>
      </c>
      <c r="P28" s="235" t="b">
        <v>0</v>
      </c>
      <c r="Q28" s="235" t="b">
        <v>0</v>
      </c>
      <c r="R28" s="235" t="b">
        <v>0</v>
      </c>
      <c r="S28" s="235" t="b">
        <v>0</v>
      </c>
      <c r="T28" s="235" t="b">
        <v>0</v>
      </c>
      <c r="U28" s="235" t="b">
        <v>0</v>
      </c>
      <c r="V28" s="235" t="b">
        <v>0</v>
      </c>
      <c r="W28" s="235" t="b">
        <v>0</v>
      </c>
      <c r="X28" s="235" t="b">
        <v>0</v>
      </c>
      <c r="Y28" s="235" t="b">
        <v>0</v>
      </c>
      <c r="Z28" s="235" t="b">
        <v>0</v>
      </c>
      <c r="AA28" s="235" t="b">
        <v>0</v>
      </c>
      <c r="AB28" s="235" t="b">
        <v>0</v>
      </c>
      <c r="AC28" s="235" t="b">
        <v>0</v>
      </c>
      <c r="AD28" s="235" t="b">
        <v>0</v>
      </c>
      <c r="AE28" s="235" t="b">
        <v>0</v>
      </c>
      <c r="AF28" s="235" t="b">
        <v>0</v>
      </c>
      <c r="AG28" s="267">
        <f t="shared" si="5"/>
        <v>4</v>
      </c>
      <c r="AH28" s="267">
        <f t="shared" si="6"/>
        <v>0</v>
      </c>
      <c r="AI28" s="267">
        <f t="shared" si="7"/>
        <v>3</v>
      </c>
      <c r="AJ28" s="7"/>
      <c r="AK28" s="259">
        <f t="shared" si="8"/>
        <v>1</v>
      </c>
      <c r="AL28" s="259">
        <f t="shared" ref="AL28:BO28" si="10">IF(AND(C$24&lt;&gt;"",OR(C28=TRUE,C28="✔")),AK28+1,0)</f>
        <v>2</v>
      </c>
      <c r="AM28" s="259">
        <f t="shared" si="10"/>
        <v>3</v>
      </c>
      <c r="AN28" s="259">
        <f t="shared" si="10"/>
        <v>0</v>
      </c>
      <c r="AO28" s="259">
        <f t="shared" si="10"/>
        <v>1</v>
      </c>
      <c r="AP28" s="259">
        <f t="shared" si="10"/>
        <v>0</v>
      </c>
      <c r="AQ28" s="259">
        <f t="shared" si="10"/>
        <v>0</v>
      </c>
      <c r="AR28" s="259">
        <f t="shared" si="10"/>
        <v>0</v>
      </c>
      <c r="AS28" s="259">
        <f t="shared" si="10"/>
        <v>0</v>
      </c>
      <c r="AT28" s="259">
        <f t="shared" si="10"/>
        <v>0</v>
      </c>
      <c r="AU28" s="259">
        <f t="shared" si="10"/>
        <v>0</v>
      </c>
      <c r="AV28" s="259">
        <f t="shared" si="10"/>
        <v>0</v>
      </c>
      <c r="AW28" s="259">
        <f t="shared" si="10"/>
        <v>0</v>
      </c>
      <c r="AX28" s="259">
        <f t="shared" si="10"/>
        <v>0</v>
      </c>
      <c r="AY28" s="268">
        <f t="shared" si="10"/>
        <v>0</v>
      </c>
      <c r="AZ28" s="268">
        <f t="shared" si="10"/>
        <v>0</v>
      </c>
      <c r="BA28" s="268">
        <f t="shared" si="10"/>
        <v>0</v>
      </c>
      <c r="BB28" s="268">
        <f t="shared" si="10"/>
        <v>0</v>
      </c>
      <c r="BC28" s="268">
        <f t="shared" si="10"/>
        <v>0</v>
      </c>
      <c r="BD28" s="268">
        <f t="shared" si="10"/>
        <v>0</v>
      </c>
      <c r="BE28" s="268">
        <f t="shared" si="10"/>
        <v>0</v>
      </c>
      <c r="BF28" s="268">
        <f t="shared" si="10"/>
        <v>0</v>
      </c>
      <c r="BG28" s="268">
        <f t="shared" si="10"/>
        <v>0</v>
      </c>
      <c r="BH28" s="268">
        <f t="shared" si="10"/>
        <v>0</v>
      </c>
      <c r="BI28" s="268">
        <f t="shared" si="10"/>
        <v>0</v>
      </c>
      <c r="BJ28" s="268">
        <f t="shared" si="10"/>
        <v>0</v>
      </c>
      <c r="BK28" s="268">
        <f t="shared" si="10"/>
        <v>0</v>
      </c>
      <c r="BL28" s="268">
        <f t="shared" si="10"/>
        <v>0</v>
      </c>
      <c r="BM28" s="268">
        <f t="shared" si="10"/>
        <v>0</v>
      </c>
      <c r="BN28" s="268">
        <f t="shared" si="10"/>
        <v>0</v>
      </c>
      <c r="BO28" s="268">
        <f t="shared" si="10"/>
        <v>0</v>
      </c>
    </row>
    <row r="29" ht="15.75" customHeight="1">
      <c r="A29" s="257" t="s">
        <v>380</v>
      </c>
      <c r="B29" s="235" t="b">
        <v>1</v>
      </c>
      <c r="C29" s="235" t="b">
        <v>1</v>
      </c>
      <c r="D29" s="235" t="b">
        <v>1</v>
      </c>
      <c r="E29" s="235" t="b">
        <v>0</v>
      </c>
      <c r="F29" s="235" t="b">
        <v>1</v>
      </c>
      <c r="G29" s="235" t="b">
        <v>0</v>
      </c>
      <c r="H29" s="235" t="b">
        <v>0</v>
      </c>
      <c r="I29" s="235" t="b">
        <v>0</v>
      </c>
      <c r="J29" s="235" t="b">
        <v>0</v>
      </c>
      <c r="K29" s="235" t="b">
        <v>0</v>
      </c>
      <c r="L29" s="235" t="b">
        <v>0</v>
      </c>
      <c r="M29" s="235" t="b">
        <v>0</v>
      </c>
      <c r="N29" s="235" t="b">
        <v>0</v>
      </c>
      <c r="O29" s="235" t="b">
        <v>0</v>
      </c>
      <c r="P29" s="235" t="b">
        <v>0</v>
      </c>
      <c r="Q29" s="235" t="b">
        <v>0</v>
      </c>
      <c r="R29" s="235" t="b">
        <v>0</v>
      </c>
      <c r="S29" s="235" t="b">
        <v>0</v>
      </c>
      <c r="T29" s="235" t="b">
        <v>0</v>
      </c>
      <c r="U29" s="235" t="b">
        <v>0</v>
      </c>
      <c r="V29" s="235" t="b">
        <v>0</v>
      </c>
      <c r="W29" s="235" t="b">
        <v>0</v>
      </c>
      <c r="X29" s="235" t="b">
        <v>0</v>
      </c>
      <c r="Y29" s="235" t="b">
        <v>0</v>
      </c>
      <c r="Z29" s="235" t="b">
        <v>0</v>
      </c>
      <c r="AA29" s="235" t="b">
        <v>0</v>
      </c>
      <c r="AB29" s="235" t="b">
        <v>0</v>
      </c>
      <c r="AC29" s="235" t="b">
        <v>0</v>
      </c>
      <c r="AD29" s="235" t="b">
        <v>0</v>
      </c>
      <c r="AE29" s="235" t="b">
        <v>0</v>
      </c>
      <c r="AF29" s="235" t="b">
        <v>0</v>
      </c>
      <c r="AG29" s="267">
        <f t="shared" si="5"/>
        <v>4</v>
      </c>
      <c r="AH29" s="267">
        <f t="shared" si="6"/>
        <v>0</v>
      </c>
      <c r="AI29" s="267">
        <f t="shared" si="7"/>
        <v>3</v>
      </c>
      <c r="AJ29" s="7"/>
      <c r="AK29" s="259">
        <f t="shared" si="8"/>
        <v>1</v>
      </c>
      <c r="AL29" s="259">
        <f t="shared" ref="AL29:BO29" si="11">IF(AND(C$24&lt;&gt;"",OR(C29=TRUE,C29="✔")),AK29+1,0)</f>
        <v>2</v>
      </c>
      <c r="AM29" s="259">
        <f t="shared" si="11"/>
        <v>3</v>
      </c>
      <c r="AN29" s="259">
        <f t="shared" si="11"/>
        <v>0</v>
      </c>
      <c r="AO29" s="259">
        <f t="shared" si="11"/>
        <v>1</v>
      </c>
      <c r="AP29" s="259">
        <f t="shared" si="11"/>
        <v>0</v>
      </c>
      <c r="AQ29" s="259">
        <f t="shared" si="11"/>
        <v>0</v>
      </c>
      <c r="AR29" s="259">
        <f t="shared" si="11"/>
        <v>0</v>
      </c>
      <c r="AS29" s="259">
        <f t="shared" si="11"/>
        <v>0</v>
      </c>
      <c r="AT29" s="259">
        <f t="shared" si="11"/>
        <v>0</v>
      </c>
      <c r="AU29" s="259">
        <f t="shared" si="11"/>
        <v>0</v>
      </c>
      <c r="AV29" s="259">
        <f t="shared" si="11"/>
        <v>0</v>
      </c>
      <c r="AW29" s="259">
        <f t="shared" si="11"/>
        <v>0</v>
      </c>
      <c r="AX29" s="259">
        <f t="shared" si="11"/>
        <v>0</v>
      </c>
      <c r="AY29" s="268">
        <f t="shared" si="11"/>
        <v>0</v>
      </c>
      <c r="AZ29" s="268">
        <f t="shared" si="11"/>
        <v>0</v>
      </c>
      <c r="BA29" s="268">
        <f t="shared" si="11"/>
        <v>0</v>
      </c>
      <c r="BB29" s="268">
        <f t="shared" si="11"/>
        <v>0</v>
      </c>
      <c r="BC29" s="268">
        <f t="shared" si="11"/>
        <v>0</v>
      </c>
      <c r="BD29" s="268">
        <f t="shared" si="11"/>
        <v>0</v>
      </c>
      <c r="BE29" s="268">
        <f t="shared" si="11"/>
        <v>0</v>
      </c>
      <c r="BF29" s="268">
        <f t="shared" si="11"/>
        <v>0</v>
      </c>
      <c r="BG29" s="268">
        <f t="shared" si="11"/>
        <v>0</v>
      </c>
      <c r="BH29" s="268">
        <f t="shared" si="11"/>
        <v>0</v>
      </c>
      <c r="BI29" s="268">
        <f t="shared" si="11"/>
        <v>0</v>
      </c>
      <c r="BJ29" s="268">
        <f t="shared" si="11"/>
        <v>0</v>
      </c>
      <c r="BK29" s="268">
        <f t="shared" si="11"/>
        <v>0</v>
      </c>
      <c r="BL29" s="268">
        <f t="shared" si="11"/>
        <v>0</v>
      </c>
      <c r="BM29" s="268">
        <f t="shared" si="11"/>
        <v>0</v>
      </c>
      <c r="BN29" s="268">
        <f t="shared" si="11"/>
        <v>0</v>
      </c>
      <c r="BO29" s="268">
        <f t="shared" si="11"/>
        <v>0</v>
      </c>
    </row>
    <row r="30" ht="15.75" customHeight="1">
      <c r="A30" s="257" t="s">
        <v>381</v>
      </c>
      <c r="B30" s="235" t="b">
        <v>0</v>
      </c>
      <c r="C30" s="235" t="b">
        <v>1</v>
      </c>
      <c r="D30" s="235" t="b">
        <v>1</v>
      </c>
      <c r="E30" s="235" t="b">
        <v>0</v>
      </c>
      <c r="F30" s="235" t="b">
        <v>1</v>
      </c>
      <c r="G30" s="235" t="b">
        <v>0</v>
      </c>
      <c r="H30" s="235" t="b">
        <v>0</v>
      </c>
      <c r="I30" s="235" t="b">
        <v>0</v>
      </c>
      <c r="J30" s="235" t="b">
        <v>0</v>
      </c>
      <c r="K30" s="235" t="b">
        <v>0</v>
      </c>
      <c r="L30" s="235" t="b">
        <v>0</v>
      </c>
      <c r="M30" s="235" t="b">
        <v>0</v>
      </c>
      <c r="N30" s="235" t="b">
        <v>0</v>
      </c>
      <c r="O30" s="235" t="b">
        <v>0</v>
      </c>
      <c r="P30" s="235" t="b">
        <v>0</v>
      </c>
      <c r="Q30" s="235" t="b">
        <v>0</v>
      </c>
      <c r="R30" s="235" t="b">
        <v>0</v>
      </c>
      <c r="S30" s="235" t="b">
        <v>0</v>
      </c>
      <c r="T30" s="235" t="b">
        <v>0</v>
      </c>
      <c r="U30" s="235" t="b">
        <v>0</v>
      </c>
      <c r="V30" s="235" t="b">
        <v>0</v>
      </c>
      <c r="W30" s="235" t="b">
        <v>0</v>
      </c>
      <c r="X30" s="235" t="b">
        <v>0</v>
      </c>
      <c r="Y30" s="235" t="b">
        <v>0</v>
      </c>
      <c r="Z30" s="235" t="b">
        <v>0</v>
      </c>
      <c r="AA30" s="235" t="b">
        <v>0</v>
      </c>
      <c r="AB30" s="235" t="b">
        <v>0</v>
      </c>
      <c r="AC30" s="235" t="b">
        <v>0</v>
      </c>
      <c r="AD30" s="235" t="b">
        <v>0</v>
      </c>
      <c r="AE30" s="235" t="b">
        <v>0</v>
      </c>
      <c r="AF30" s="235" t="b">
        <v>0</v>
      </c>
      <c r="AG30" s="267">
        <f t="shared" si="5"/>
        <v>3</v>
      </c>
      <c r="AH30" s="267">
        <f t="shared" si="6"/>
        <v>0</v>
      </c>
      <c r="AI30" s="267">
        <f t="shared" si="7"/>
        <v>2</v>
      </c>
      <c r="AJ30" s="7"/>
      <c r="AK30" s="259">
        <f t="shared" si="8"/>
        <v>0</v>
      </c>
      <c r="AL30" s="259">
        <f t="shared" ref="AL30:BO30" si="12">IF(AND(C$24&lt;&gt;"",OR(C30=TRUE,C30="✔")),AK30+1,0)</f>
        <v>1</v>
      </c>
      <c r="AM30" s="259">
        <f t="shared" si="12"/>
        <v>2</v>
      </c>
      <c r="AN30" s="259">
        <f t="shared" si="12"/>
        <v>0</v>
      </c>
      <c r="AO30" s="259">
        <f t="shared" si="12"/>
        <v>1</v>
      </c>
      <c r="AP30" s="259">
        <f t="shared" si="12"/>
        <v>0</v>
      </c>
      <c r="AQ30" s="259">
        <f t="shared" si="12"/>
        <v>0</v>
      </c>
      <c r="AR30" s="259">
        <f t="shared" si="12"/>
        <v>0</v>
      </c>
      <c r="AS30" s="259">
        <f t="shared" si="12"/>
        <v>0</v>
      </c>
      <c r="AT30" s="259">
        <f t="shared" si="12"/>
        <v>0</v>
      </c>
      <c r="AU30" s="259">
        <f t="shared" si="12"/>
        <v>0</v>
      </c>
      <c r="AV30" s="259">
        <f t="shared" si="12"/>
        <v>0</v>
      </c>
      <c r="AW30" s="259">
        <f t="shared" si="12"/>
        <v>0</v>
      </c>
      <c r="AX30" s="259">
        <f t="shared" si="12"/>
        <v>0</v>
      </c>
      <c r="AY30" s="268">
        <f t="shared" si="12"/>
        <v>0</v>
      </c>
      <c r="AZ30" s="268">
        <f t="shared" si="12"/>
        <v>0</v>
      </c>
      <c r="BA30" s="268">
        <f t="shared" si="12"/>
        <v>0</v>
      </c>
      <c r="BB30" s="268">
        <f t="shared" si="12"/>
        <v>0</v>
      </c>
      <c r="BC30" s="268">
        <f t="shared" si="12"/>
        <v>0</v>
      </c>
      <c r="BD30" s="268">
        <f t="shared" si="12"/>
        <v>0</v>
      </c>
      <c r="BE30" s="268">
        <f t="shared" si="12"/>
        <v>0</v>
      </c>
      <c r="BF30" s="268">
        <f t="shared" si="12"/>
        <v>0</v>
      </c>
      <c r="BG30" s="268">
        <f t="shared" si="12"/>
        <v>0</v>
      </c>
      <c r="BH30" s="268">
        <f t="shared" si="12"/>
        <v>0</v>
      </c>
      <c r="BI30" s="268">
        <f t="shared" si="12"/>
        <v>0</v>
      </c>
      <c r="BJ30" s="268">
        <f t="shared" si="12"/>
        <v>0</v>
      </c>
      <c r="BK30" s="268">
        <f t="shared" si="12"/>
        <v>0</v>
      </c>
      <c r="BL30" s="268">
        <f t="shared" si="12"/>
        <v>0</v>
      </c>
      <c r="BM30" s="268">
        <f t="shared" si="12"/>
        <v>0</v>
      </c>
      <c r="BN30" s="268">
        <f t="shared" si="12"/>
        <v>0</v>
      </c>
      <c r="BO30" s="268">
        <f t="shared" si="12"/>
        <v>0</v>
      </c>
    </row>
    <row r="31" ht="15.75" customHeight="1">
      <c r="A31" s="257" t="s">
        <v>386</v>
      </c>
      <c r="B31" s="235" t="b">
        <v>1</v>
      </c>
      <c r="C31" s="235" t="b">
        <v>0</v>
      </c>
      <c r="D31" s="235" t="b">
        <v>1</v>
      </c>
      <c r="E31" s="235" t="b">
        <v>0</v>
      </c>
      <c r="F31" s="235" t="b">
        <v>1</v>
      </c>
      <c r="G31" s="235" t="b">
        <v>0</v>
      </c>
      <c r="H31" s="235" t="b">
        <v>0</v>
      </c>
      <c r="I31" s="235" t="b">
        <v>0</v>
      </c>
      <c r="J31" s="235" t="b">
        <v>0</v>
      </c>
      <c r="K31" s="235" t="b">
        <v>0</v>
      </c>
      <c r="L31" s="235" t="b">
        <v>0</v>
      </c>
      <c r="M31" s="235" t="b">
        <v>0</v>
      </c>
      <c r="N31" s="235" t="b">
        <v>0</v>
      </c>
      <c r="O31" s="235" t="b">
        <v>0</v>
      </c>
      <c r="P31" s="235" t="b">
        <v>0</v>
      </c>
      <c r="Q31" s="235" t="b">
        <v>0</v>
      </c>
      <c r="R31" s="235" t="b">
        <v>0</v>
      </c>
      <c r="S31" s="235" t="b">
        <v>0</v>
      </c>
      <c r="T31" s="235" t="b">
        <v>0</v>
      </c>
      <c r="U31" s="235" t="b">
        <v>0</v>
      </c>
      <c r="V31" s="235" t="b">
        <v>0</v>
      </c>
      <c r="W31" s="235" t="b">
        <v>0</v>
      </c>
      <c r="X31" s="235" t="b">
        <v>0</v>
      </c>
      <c r="Y31" s="235" t="b">
        <v>0</v>
      </c>
      <c r="Z31" s="235" t="b">
        <v>0</v>
      </c>
      <c r="AA31" s="235" t="b">
        <v>0</v>
      </c>
      <c r="AB31" s="235" t="b">
        <v>0</v>
      </c>
      <c r="AC31" s="235" t="b">
        <v>0</v>
      </c>
      <c r="AD31" s="235" t="b">
        <v>0</v>
      </c>
      <c r="AE31" s="235" t="b">
        <v>0</v>
      </c>
      <c r="AF31" s="235" t="b">
        <v>0</v>
      </c>
      <c r="AG31" s="267">
        <f t="shared" si="5"/>
        <v>3</v>
      </c>
      <c r="AH31" s="267">
        <f t="shared" si="6"/>
        <v>0</v>
      </c>
      <c r="AI31" s="267">
        <f t="shared" si="7"/>
        <v>1</v>
      </c>
      <c r="AJ31" s="7"/>
      <c r="AK31" s="259">
        <f t="shared" si="8"/>
        <v>1</v>
      </c>
      <c r="AL31" s="259">
        <f t="shared" ref="AL31:AN31" si="13">IF(AND(C$24&lt;&gt;"",OR(C31=TRUE,C31="✔")),AK31+1,0)</f>
        <v>0</v>
      </c>
      <c r="AM31" s="259">
        <f t="shared" si="13"/>
        <v>1</v>
      </c>
      <c r="AN31" s="259">
        <f t="shared" si="13"/>
        <v>0</v>
      </c>
      <c r="AO31" s="259">
        <f>IF(AND(F$24&lt;&gt;"",OR(F31=F31="✔")),AN31+1,0)</f>
        <v>0</v>
      </c>
      <c r="AP31" s="259">
        <f t="shared" ref="AP31:BO31" si="14">IF(AND(G$24&lt;&gt;"",OR(G31=TRUE,G31="✔")),AO31+1,0)</f>
        <v>0</v>
      </c>
      <c r="AQ31" s="259">
        <f t="shared" si="14"/>
        <v>0</v>
      </c>
      <c r="AR31" s="259">
        <f t="shared" si="14"/>
        <v>0</v>
      </c>
      <c r="AS31" s="259">
        <f t="shared" si="14"/>
        <v>0</v>
      </c>
      <c r="AT31" s="259">
        <f t="shared" si="14"/>
        <v>0</v>
      </c>
      <c r="AU31" s="259">
        <f t="shared" si="14"/>
        <v>0</v>
      </c>
      <c r="AV31" s="259">
        <f t="shared" si="14"/>
        <v>0</v>
      </c>
      <c r="AW31" s="259">
        <f t="shared" si="14"/>
        <v>0</v>
      </c>
      <c r="AX31" s="259">
        <f t="shared" si="14"/>
        <v>0</v>
      </c>
      <c r="AY31" s="268">
        <f t="shared" si="14"/>
        <v>0</v>
      </c>
      <c r="AZ31" s="268">
        <f t="shared" si="14"/>
        <v>0</v>
      </c>
      <c r="BA31" s="268">
        <f t="shared" si="14"/>
        <v>0</v>
      </c>
      <c r="BB31" s="268">
        <f t="shared" si="14"/>
        <v>0</v>
      </c>
      <c r="BC31" s="268">
        <f t="shared" si="14"/>
        <v>0</v>
      </c>
      <c r="BD31" s="268">
        <f t="shared" si="14"/>
        <v>0</v>
      </c>
      <c r="BE31" s="268">
        <f t="shared" si="14"/>
        <v>0</v>
      </c>
      <c r="BF31" s="268">
        <f t="shared" si="14"/>
        <v>0</v>
      </c>
      <c r="BG31" s="268">
        <f t="shared" si="14"/>
        <v>0</v>
      </c>
      <c r="BH31" s="268">
        <f t="shared" si="14"/>
        <v>0</v>
      </c>
      <c r="BI31" s="268">
        <f t="shared" si="14"/>
        <v>0</v>
      </c>
      <c r="BJ31" s="268">
        <f t="shared" si="14"/>
        <v>0</v>
      </c>
      <c r="BK31" s="268">
        <f t="shared" si="14"/>
        <v>0</v>
      </c>
      <c r="BL31" s="268">
        <f t="shared" si="14"/>
        <v>0</v>
      </c>
      <c r="BM31" s="268">
        <f t="shared" si="14"/>
        <v>0</v>
      </c>
      <c r="BN31" s="268">
        <f t="shared" si="14"/>
        <v>0</v>
      </c>
      <c r="BO31" s="268">
        <f t="shared" si="14"/>
        <v>0</v>
      </c>
    </row>
    <row r="32" ht="15.75" customHeight="1">
      <c r="A32" s="257" t="s">
        <v>400</v>
      </c>
      <c r="B32" s="235" t="b">
        <v>0</v>
      </c>
      <c r="C32" s="235" t="b">
        <v>1</v>
      </c>
      <c r="D32" s="235" t="b">
        <v>1</v>
      </c>
      <c r="E32" s="235" t="b">
        <v>0</v>
      </c>
      <c r="F32" s="235" t="b">
        <v>1</v>
      </c>
      <c r="G32" s="235" t="b">
        <v>0</v>
      </c>
      <c r="H32" s="235" t="b">
        <v>0</v>
      </c>
      <c r="I32" s="235" t="b">
        <v>0</v>
      </c>
      <c r="J32" s="235" t="b">
        <v>0</v>
      </c>
      <c r="K32" s="235" t="b">
        <v>0</v>
      </c>
      <c r="L32" s="235" t="b">
        <v>0</v>
      </c>
      <c r="M32" s="235" t="b">
        <v>0</v>
      </c>
      <c r="N32" s="235" t="b">
        <v>0</v>
      </c>
      <c r="O32" s="235" t="b">
        <v>0</v>
      </c>
      <c r="P32" s="235" t="b">
        <v>0</v>
      </c>
      <c r="Q32" s="235" t="b">
        <v>0</v>
      </c>
      <c r="R32" s="235" t="b">
        <v>0</v>
      </c>
      <c r="S32" s="235" t="b">
        <v>0</v>
      </c>
      <c r="T32" s="235" t="b">
        <v>0</v>
      </c>
      <c r="U32" s="235" t="b">
        <v>0</v>
      </c>
      <c r="V32" s="235" t="b">
        <v>0</v>
      </c>
      <c r="W32" s="235" t="b">
        <v>0</v>
      </c>
      <c r="X32" s="235" t="b">
        <v>0</v>
      </c>
      <c r="Y32" s="235" t="b">
        <v>0</v>
      </c>
      <c r="Z32" s="235" t="b">
        <v>0</v>
      </c>
      <c r="AA32" s="235" t="b">
        <v>0</v>
      </c>
      <c r="AB32" s="235" t="b">
        <v>0</v>
      </c>
      <c r="AC32" s="235" t="b">
        <v>0</v>
      </c>
      <c r="AD32" s="235" t="b">
        <v>0</v>
      </c>
      <c r="AE32" s="235" t="b">
        <v>0</v>
      </c>
      <c r="AF32" s="235" t="b">
        <v>0</v>
      </c>
      <c r="AG32" s="267">
        <f t="shared" si="5"/>
        <v>3</v>
      </c>
      <c r="AH32" s="267">
        <f t="shared" si="6"/>
        <v>0</v>
      </c>
      <c r="AI32" s="267">
        <f t="shared" si="7"/>
        <v>2</v>
      </c>
      <c r="AJ32" s="7"/>
      <c r="AK32" s="259">
        <f t="shared" si="8"/>
        <v>0</v>
      </c>
      <c r="AL32" s="259">
        <f t="shared" ref="AL32:BO32" si="15">IF(AND(C$24&lt;&gt;"",OR(C32=TRUE,C32="✔")),AK32+1,0)</f>
        <v>1</v>
      </c>
      <c r="AM32" s="259">
        <f t="shared" si="15"/>
        <v>2</v>
      </c>
      <c r="AN32" s="259">
        <f t="shared" si="15"/>
        <v>0</v>
      </c>
      <c r="AO32" s="259">
        <f t="shared" si="15"/>
        <v>1</v>
      </c>
      <c r="AP32" s="259">
        <f t="shared" si="15"/>
        <v>0</v>
      </c>
      <c r="AQ32" s="259">
        <f t="shared" si="15"/>
        <v>0</v>
      </c>
      <c r="AR32" s="259">
        <f t="shared" si="15"/>
        <v>0</v>
      </c>
      <c r="AS32" s="259">
        <f t="shared" si="15"/>
        <v>0</v>
      </c>
      <c r="AT32" s="259">
        <f t="shared" si="15"/>
        <v>0</v>
      </c>
      <c r="AU32" s="259">
        <f t="shared" si="15"/>
        <v>0</v>
      </c>
      <c r="AV32" s="259">
        <f t="shared" si="15"/>
        <v>0</v>
      </c>
      <c r="AW32" s="259">
        <f t="shared" si="15"/>
        <v>0</v>
      </c>
      <c r="AX32" s="259">
        <f t="shared" si="15"/>
        <v>0</v>
      </c>
      <c r="AY32" s="268">
        <f t="shared" si="15"/>
        <v>0</v>
      </c>
      <c r="AZ32" s="268">
        <f t="shared" si="15"/>
        <v>0</v>
      </c>
      <c r="BA32" s="268">
        <f t="shared" si="15"/>
        <v>0</v>
      </c>
      <c r="BB32" s="268">
        <f t="shared" si="15"/>
        <v>0</v>
      </c>
      <c r="BC32" s="268">
        <f t="shared" si="15"/>
        <v>0</v>
      </c>
      <c r="BD32" s="268">
        <f t="shared" si="15"/>
        <v>0</v>
      </c>
      <c r="BE32" s="268">
        <f t="shared" si="15"/>
        <v>0</v>
      </c>
      <c r="BF32" s="268">
        <f t="shared" si="15"/>
        <v>0</v>
      </c>
      <c r="BG32" s="268">
        <f t="shared" si="15"/>
        <v>0</v>
      </c>
      <c r="BH32" s="268">
        <f t="shared" si="15"/>
        <v>0</v>
      </c>
      <c r="BI32" s="268">
        <f t="shared" si="15"/>
        <v>0</v>
      </c>
      <c r="BJ32" s="268">
        <f t="shared" si="15"/>
        <v>0</v>
      </c>
      <c r="BK32" s="268">
        <f t="shared" si="15"/>
        <v>0</v>
      </c>
      <c r="BL32" s="268">
        <f t="shared" si="15"/>
        <v>0</v>
      </c>
      <c r="BM32" s="268">
        <f t="shared" si="15"/>
        <v>0</v>
      </c>
      <c r="BN32" s="268">
        <f t="shared" si="15"/>
        <v>0</v>
      </c>
      <c r="BO32" s="268">
        <f t="shared" si="15"/>
        <v>0</v>
      </c>
    </row>
    <row r="33" ht="15.75" customHeight="1">
      <c r="A33" s="257" t="s">
        <v>401</v>
      </c>
      <c r="B33" s="235" t="b">
        <v>1</v>
      </c>
      <c r="C33" s="235" t="b">
        <v>1</v>
      </c>
      <c r="D33" s="235" t="b">
        <v>1</v>
      </c>
      <c r="E33" s="235" t="b">
        <v>0</v>
      </c>
      <c r="F33" s="235" t="b">
        <v>1</v>
      </c>
      <c r="G33" s="235" t="b">
        <v>0</v>
      </c>
      <c r="H33" s="235" t="b">
        <v>0</v>
      </c>
      <c r="I33" s="235" t="b">
        <v>0</v>
      </c>
      <c r="J33" s="235" t="b">
        <v>0</v>
      </c>
      <c r="K33" s="235" t="b">
        <v>0</v>
      </c>
      <c r="L33" s="235" t="b">
        <v>0</v>
      </c>
      <c r="M33" s="235" t="b">
        <v>0</v>
      </c>
      <c r="N33" s="235" t="b">
        <v>0</v>
      </c>
      <c r="O33" s="235" t="b">
        <v>0</v>
      </c>
      <c r="P33" s="235" t="b">
        <v>0</v>
      </c>
      <c r="Q33" s="235" t="b">
        <v>0</v>
      </c>
      <c r="R33" s="235" t="b">
        <v>0</v>
      </c>
      <c r="S33" s="235" t="b">
        <v>0</v>
      </c>
      <c r="T33" s="235" t="b">
        <v>0</v>
      </c>
      <c r="U33" s="235" t="b">
        <v>0</v>
      </c>
      <c r="V33" s="235" t="b">
        <v>0</v>
      </c>
      <c r="W33" s="235" t="b">
        <v>0</v>
      </c>
      <c r="X33" s="235" t="b">
        <v>0</v>
      </c>
      <c r="Y33" s="235" t="b">
        <v>0</v>
      </c>
      <c r="Z33" s="235" t="b">
        <v>0</v>
      </c>
      <c r="AA33" s="235" t="b">
        <v>0</v>
      </c>
      <c r="AB33" s="235" t="b">
        <v>0</v>
      </c>
      <c r="AC33" s="235" t="b">
        <v>0</v>
      </c>
      <c r="AD33" s="235" t="b">
        <v>0</v>
      </c>
      <c r="AE33" s="235" t="b">
        <v>0</v>
      </c>
      <c r="AF33" s="235" t="b">
        <v>0</v>
      </c>
      <c r="AG33" s="267">
        <f t="shared" si="5"/>
        <v>4</v>
      </c>
      <c r="AH33" s="267">
        <f t="shared" si="6"/>
        <v>0</v>
      </c>
      <c r="AI33" s="267">
        <f t="shared" si="7"/>
        <v>3</v>
      </c>
      <c r="AJ33" s="7"/>
      <c r="AK33" s="259">
        <f t="shared" si="8"/>
        <v>1</v>
      </c>
      <c r="AL33" s="259">
        <f t="shared" ref="AL33:BO33" si="16">IF(AND(C$24&lt;&gt;"",OR(C33=TRUE,C33="✔")),AK33+1,0)</f>
        <v>2</v>
      </c>
      <c r="AM33" s="259">
        <f t="shared" si="16"/>
        <v>3</v>
      </c>
      <c r="AN33" s="259">
        <f t="shared" si="16"/>
        <v>0</v>
      </c>
      <c r="AO33" s="259">
        <f t="shared" si="16"/>
        <v>1</v>
      </c>
      <c r="AP33" s="259">
        <f t="shared" si="16"/>
        <v>0</v>
      </c>
      <c r="AQ33" s="259">
        <f t="shared" si="16"/>
        <v>0</v>
      </c>
      <c r="AR33" s="259">
        <f t="shared" si="16"/>
        <v>0</v>
      </c>
      <c r="AS33" s="259">
        <f t="shared" si="16"/>
        <v>0</v>
      </c>
      <c r="AT33" s="259">
        <f t="shared" si="16"/>
        <v>0</v>
      </c>
      <c r="AU33" s="259">
        <f t="shared" si="16"/>
        <v>0</v>
      </c>
      <c r="AV33" s="259">
        <f t="shared" si="16"/>
        <v>0</v>
      </c>
      <c r="AW33" s="259">
        <f t="shared" si="16"/>
        <v>0</v>
      </c>
      <c r="AX33" s="259">
        <f t="shared" si="16"/>
        <v>0</v>
      </c>
      <c r="AY33" s="268">
        <f t="shared" si="16"/>
        <v>0</v>
      </c>
      <c r="AZ33" s="268">
        <f t="shared" si="16"/>
        <v>0</v>
      </c>
      <c r="BA33" s="268">
        <f t="shared" si="16"/>
        <v>0</v>
      </c>
      <c r="BB33" s="268">
        <f t="shared" si="16"/>
        <v>0</v>
      </c>
      <c r="BC33" s="268">
        <f t="shared" si="16"/>
        <v>0</v>
      </c>
      <c r="BD33" s="268">
        <f t="shared" si="16"/>
        <v>0</v>
      </c>
      <c r="BE33" s="268">
        <f t="shared" si="16"/>
        <v>0</v>
      </c>
      <c r="BF33" s="268">
        <f t="shared" si="16"/>
        <v>0</v>
      </c>
      <c r="BG33" s="268">
        <f t="shared" si="16"/>
        <v>0</v>
      </c>
      <c r="BH33" s="268">
        <f t="shared" si="16"/>
        <v>0</v>
      </c>
      <c r="BI33" s="268">
        <f t="shared" si="16"/>
        <v>0</v>
      </c>
      <c r="BJ33" s="268">
        <f t="shared" si="16"/>
        <v>0</v>
      </c>
      <c r="BK33" s="268">
        <f t="shared" si="16"/>
        <v>0</v>
      </c>
      <c r="BL33" s="268">
        <f t="shared" si="16"/>
        <v>0</v>
      </c>
      <c r="BM33" s="268">
        <f t="shared" si="16"/>
        <v>0</v>
      </c>
      <c r="BN33" s="268">
        <f t="shared" si="16"/>
        <v>0</v>
      </c>
      <c r="BO33" s="268">
        <f t="shared" si="16"/>
        <v>0</v>
      </c>
    </row>
    <row r="34" ht="15.75" customHeight="1">
      <c r="A34" s="257" t="s">
        <v>402</v>
      </c>
      <c r="B34" s="235" t="b">
        <v>1</v>
      </c>
      <c r="C34" s="235" t="b">
        <v>1</v>
      </c>
      <c r="D34" s="235" t="b">
        <v>0</v>
      </c>
      <c r="E34" s="235" t="b">
        <v>0</v>
      </c>
      <c r="F34" s="235" t="b">
        <v>1</v>
      </c>
      <c r="G34" s="235" t="b">
        <v>0</v>
      </c>
      <c r="H34" s="235" t="b">
        <v>0</v>
      </c>
      <c r="I34" s="235" t="b">
        <v>0</v>
      </c>
      <c r="J34" s="235" t="b">
        <v>0</v>
      </c>
      <c r="K34" s="235" t="b">
        <v>0</v>
      </c>
      <c r="L34" s="235" t="b">
        <v>0</v>
      </c>
      <c r="M34" s="235" t="b">
        <v>0</v>
      </c>
      <c r="N34" s="235" t="b">
        <v>0</v>
      </c>
      <c r="O34" s="235" t="b">
        <v>0</v>
      </c>
      <c r="P34" s="235" t="b">
        <v>0</v>
      </c>
      <c r="Q34" s="235" t="b">
        <v>0</v>
      </c>
      <c r="R34" s="235" t="b">
        <v>0</v>
      </c>
      <c r="S34" s="235" t="b">
        <v>0</v>
      </c>
      <c r="T34" s="235" t="b">
        <v>0</v>
      </c>
      <c r="U34" s="235" t="b">
        <v>0</v>
      </c>
      <c r="V34" s="235" t="b">
        <v>0</v>
      </c>
      <c r="W34" s="235" t="b">
        <v>0</v>
      </c>
      <c r="X34" s="235" t="b">
        <v>0</v>
      </c>
      <c r="Y34" s="235" t="b">
        <v>0</v>
      </c>
      <c r="Z34" s="235" t="b">
        <v>0</v>
      </c>
      <c r="AA34" s="235" t="b">
        <v>0</v>
      </c>
      <c r="AB34" s="235" t="b">
        <v>0</v>
      </c>
      <c r="AC34" s="235" t="b">
        <v>0</v>
      </c>
      <c r="AD34" s="235" t="b">
        <v>0</v>
      </c>
      <c r="AE34" s="235" t="b">
        <v>0</v>
      </c>
      <c r="AF34" s="235" t="b">
        <v>0</v>
      </c>
      <c r="AG34" s="267">
        <f t="shared" si="5"/>
        <v>3</v>
      </c>
      <c r="AH34" s="267">
        <f t="shared" si="6"/>
        <v>0</v>
      </c>
      <c r="AI34" s="267">
        <f t="shared" si="7"/>
        <v>2</v>
      </c>
      <c r="AJ34" s="7"/>
      <c r="AK34" s="259">
        <f t="shared" si="8"/>
        <v>1</v>
      </c>
      <c r="AL34" s="259">
        <f t="shared" ref="AL34:BO34" si="17">IF(AND(C$24&lt;&gt;"",OR(C34=TRUE,C34="✔")),AK34+1,0)</f>
        <v>2</v>
      </c>
      <c r="AM34" s="259">
        <f t="shared" si="17"/>
        <v>0</v>
      </c>
      <c r="AN34" s="259">
        <f t="shared" si="17"/>
        <v>0</v>
      </c>
      <c r="AO34" s="259">
        <f t="shared" si="17"/>
        <v>1</v>
      </c>
      <c r="AP34" s="259">
        <f t="shared" si="17"/>
        <v>0</v>
      </c>
      <c r="AQ34" s="259">
        <f t="shared" si="17"/>
        <v>0</v>
      </c>
      <c r="AR34" s="259">
        <f t="shared" si="17"/>
        <v>0</v>
      </c>
      <c r="AS34" s="259">
        <f t="shared" si="17"/>
        <v>0</v>
      </c>
      <c r="AT34" s="259">
        <f t="shared" si="17"/>
        <v>0</v>
      </c>
      <c r="AU34" s="259">
        <f t="shared" si="17"/>
        <v>0</v>
      </c>
      <c r="AV34" s="259">
        <f t="shared" si="17"/>
        <v>0</v>
      </c>
      <c r="AW34" s="259">
        <f t="shared" si="17"/>
        <v>0</v>
      </c>
      <c r="AX34" s="259">
        <f t="shared" si="17"/>
        <v>0</v>
      </c>
      <c r="AY34" s="268">
        <f t="shared" si="17"/>
        <v>0</v>
      </c>
      <c r="AZ34" s="268">
        <f t="shared" si="17"/>
        <v>0</v>
      </c>
      <c r="BA34" s="268">
        <f t="shared" si="17"/>
        <v>0</v>
      </c>
      <c r="BB34" s="268">
        <f t="shared" si="17"/>
        <v>0</v>
      </c>
      <c r="BC34" s="268">
        <f t="shared" si="17"/>
        <v>0</v>
      </c>
      <c r="BD34" s="268">
        <f t="shared" si="17"/>
        <v>0</v>
      </c>
      <c r="BE34" s="268">
        <f t="shared" si="17"/>
        <v>0</v>
      </c>
      <c r="BF34" s="268">
        <f t="shared" si="17"/>
        <v>0</v>
      </c>
      <c r="BG34" s="268">
        <f t="shared" si="17"/>
        <v>0</v>
      </c>
      <c r="BH34" s="268">
        <f t="shared" si="17"/>
        <v>0</v>
      </c>
      <c r="BI34" s="268">
        <f t="shared" si="17"/>
        <v>0</v>
      </c>
      <c r="BJ34" s="268">
        <f t="shared" si="17"/>
        <v>0</v>
      </c>
      <c r="BK34" s="268">
        <f t="shared" si="17"/>
        <v>0</v>
      </c>
      <c r="BL34" s="268">
        <f t="shared" si="17"/>
        <v>0</v>
      </c>
      <c r="BM34" s="268">
        <f t="shared" si="17"/>
        <v>0</v>
      </c>
      <c r="BN34" s="268">
        <f t="shared" si="17"/>
        <v>0</v>
      </c>
      <c r="BO34" s="268">
        <f t="shared" si="17"/>
        <v>0</v>
      </c>
    </row>
    <row r="35" ht="15.75" customHeight="1">
      <c r="A35" s="257" t="s">
        <v>403</v>
      </c>
      <c r="B35" s="235" t="b">
        <v>1</v>
      </c>
      <c r="C35" s="235" t="b">
        <v>1</v>
      </c>
      <c r="D35" s="235" t="b">
        <v>1</v>
      </c>
      <c r="E35" s="235" t="b">
        <v>0</v>
      </c>
      <c r="F35" s="235" t="b">
        <v>1</v>
      </c>
      <c r="G35" s="235" t="b">
        <v>0</v>
      </c>
      <c r="H35" s="235" t="b">
        <v>0</v>
      </c>
      <c r="I35" s="235" t="b">
        <v>0</v>
      </c>
      <c r="J35" s="235" t="b">
        <v>0</v>
      </c>
      <c r="K35" s="235" t="b">
        <v>0</v>
      </c>
      <c r="L35" s="235" t="b">
        <v>0</v>
      </c>
      <c r="M35" s="235" t="b">
        <v>0</v>
      </c>
      <c r="N35" s="235" t="b">
        <v>0</v>
      </c>
      <c r="O35" s="235" t="b">
        <v>0</v>
      </c>
      <c r="P35" s="235" t="b">
        <v>0</v>
      </c>
      <c r="Q35" s="235" t="b">
        <v>0</v>
      </c>
      <c r="R35" s="235" t="b">
        <v>0</v>
      </c>
      <c r="S35" s="235" t="b">
        <v>0</v>
      </c>
      <c r="T35" s="235" t="b">
        <v>0</v>
      </c>
      <c r="U35" s="235" t="b">
        <v>0</v>
      </c>
      <c r="V35" s="235" t="b">
        <v>0</v>
      </c>
      <c r="W35" s="235" t="b">
        <v>0</v>
      </c>
      <c r="X35" s="235" t="b">
        <v>0</v>
      </c>
      <c r="Y35" s="235" t="b">
        <v>0</v>
      </c>
      <c r="Z35" s="235" t="b">
        <v>0</v>
      </c>
      <c r="AA35" s="235" t="b">
        <v>0</v>
      </c>
      <c r="AB35" s="235" t="b">
        <v>0</v>
      </c>
      <c r="AC35" s="235" t="b">
        <v>0</v>
      </c>
      <c r="AD35" s="235" t="b">
        <v>0</v>
      </c>
      <c r="AE35" s="235" t="b">
        <v>0</v>
      </c>
      <c r="AF35" s="235" t="b">
        <v>0</v>
      </c>
      <c r="AG35" s="267">
        <f t="shared" si="5"/>
        <v>4</v>
      </c>
      <c r="AH35" s="267">
        <f t="shared" si="6"/>
        <v>0</v>
      </c>
      <c r="AI35" s="267">
        <f t="shared" si="7"/>
        <v>3</v>
      </c>
      <c r="AJ35" s="7"/>
      <c r="AK35" s="259">
        <f t="shared" si="8"/>
        <v>1</v>
      </c>
      <c r="AL35" s="259">
        <f t="shared" ref="AL35:BO35" si="18">IF(AND(C$24&lt;&gt;"",OR(C35=TRUE,C35="✔")),AK35+1,0)</f>
        <v>2</v>
      </c>
      <c r="AM35" s="259">
        <f t="shared" si="18"/>
        <v>3</v>
      </c>
      <c r="AN35" s="259">
        <f t="shared" si="18"/>
        <v>0</v>
      </c>
      <c r="AO35" s="259">
        <f t="shared" si="18"/>
        <v>1</v>
      </c>
      <c r="AP35" s="259">
        <f t="shared" si="18"/>
        <v>0</v>
      </c>
      <c r="AQ35" s="259">
        <f t="shared" si="18"/>
        <v>0</v>
      </c>
      <c r="AR35" s="259">
        <f t="shared" si="18"/>
        <v>0</v>
      </c>
      <c r="AS35" s="259">
        <f t="shared" si="18"/>
        <v>0</v>
      </c>
      <c r="AT35" s="259">
        <f t="shared" si="18"/>
        <v>0</v>
      </c>
      <c r="AU35" s="259">
        <f t="shared" si="18"/>
        <v>0</v>
      </c>
      <c r="AV35" s="259">
        <f t="shared" si="18"/>
        <v>0</v>
      </c>
      <c r="AW35" s="259">
        <f t="shared" si="18"/>
        <v>0</v>
      </c>
      <c r="AX35" s="259">
        <f t="shared" si="18"/>
        <v>0</v>
      </c>
      <c r="AY35" s="268">
        <f t="shared" si="18"/>
        <v>0</v>
      </c>
      <c r="AZ35" s="268">
        <f t="shared" si="18"/>
        <v>0</v>
      </c>
      <c r="BA35" s="268">
        <f t="shared" si="18"/>
        <v>0</v>
      </c>
      <c r="BB35" s="268">
        <f t="shared" si="18"/>
        <v>0</v>
      </c>
      <c r="BC35" s="268">
        <f t="shared" si="18"/>
        <v>0</v>
      </c>
      <c r="BD35" s="268">
        <f t="shared" si="18"/>
        <v>0</v>
      </c>
      <c r="BE35" s="268">
        <f t="shared" si="18"/>
        <v>0</v>
      </c>
      <c r="BF35" s="268">
        <f t="shared" si="18"/>
        <v>0</v>
      </c>
      <c r="BG35" s="268">
        <f t="shared" si="18"/>
        <v>0</v>
      </c>
      <c r="BH35" s="268">
        <f t="shared" si="18"/>
        <v>0</v>
      </c>
      <c r="BI35" s="268">
        <f t="shared" si="18"/>
        <v>0</v>
      </c>
      <c r="BJ35" s="268">
        <f t="shared" si="18"/>
        <v>0</v>
      </c>
      <c r="BK35" s="268">
        <f t="shared" si="18"/>
        <v>0</v>
      </c>
      <c r="BL35" s="268">
        <f t="shared" si="18"/>
        <v>0</v>
      </c>
      <c r="BM35" s="268">
        <f t="shared" si="18"/>
        <v>0</v>
      </c>
      <c r="BN35" s="268">
        <f t="shared" si="18"/>
        <v>0</v>
      </c>
      <c r="BO35" s="268">
        <f t="shared" si="18"/>
        <v>0</v>
      </c>
    </row>
    <row r="36" ht="15.75" customHeight="1">
      <c r="A36" s="257" t="s">
        <v>404</v>
      </c>
      <c r="B36" s="235" t="b">
        <v>1</v>
      </c>
      <c r="C36" s="235" t="b">
        <v>1</v>
      </c>
      <c r="D36" s="235" t="b">
        <v>1</v>
      </c>
      <c r="E36" s="235" t="b">
        <v>0</v>
      </c>
      <c r="F36" s="235" t="b">
        <v>1</v>
      </c>
      <c r="G36" s="235" t="b">
        <v>0</v>
      </c>
      <c r="H36" s="235" t="b">
        <v>0</v>
      </c>
      <c r="I36" s="235" t="b">
        <v>0</v>
      </c>
      <c r="J36" s="235" t="b">
        <v>0</v>
      </c>
      <c r="K36" s="235" t="b">
        <v>0</v>
      </c>
      <c r="L36" s="235" t="b">
        <v>0</v>
      </c>
      <c r="M36" s="235" t="b">
        <v>0</v>
      </c>
      <c r="N36" s="235" t="b">
        <v>0</v>
      </c>
      <c r="O36" s="235" t="b">
        <v>0</v>
      </c>
      <c r="P36" s="235" t="b">
        <v>0</v>
      </c>
      <c r="Q36" s="235" t="b">
        <v>0</v>
      </c>
      <c r="R36" s="235" t="b">
        <v>0</v>
      </c>
      <c r="S36" s="235" t="b">
        <v>0</v>
      </c>
      <c r="T36" s="235" t="b">
        <v>0</v>
      </c>
      <c r="U36" s="235" t="b">
        <v>0</v>
      </c>
      <c r="V36" s="235" t="b">
        <v>0</v>
      </c>
      <c r="W36" s="235" t="b">
        <v>0</v>
      </c>
      <c r="X36" s="235" t="b">
        <v>0</v>
      </c>
      <c r="Y36" s="235" t="b">
        <v>0</v>
      </c>
      <c r="Z36" s="235" t="b">
        <v>0</v>
      </c>
      <c r="AA36" s="235" t="b">
        <v>0</v>
      </c>
      <c r="AB36" s="235" t="b">
        <v>0</v>
      </c>
      <c r="AC36" s="235" t="b">
        <v>0</v>
      </c>
      <c r="AD36" s="235" t="b">
        <v>0</v>
      </c>
      <c r="AE36" s="235" t="b">
        <v>0</v>
      </c>
      <c r="AF36" s="235" t="b">
        <v>0</v>
      </c>
      <c r="AG36" s="267">
        <f t="shared" si="5"/>
        <v>4</v>
      </c>
      <c r="AH36" s="267">
        <f t="shared" si="6"/>
        <v>0</v>
      </c>
      <c r="AI36" s="267">
        <f t="shared" si="7"/>
        <v>3</v>
      </c>
      <c r="AJ36" s="7"/>
      <c r="AK36" s="259">
        <f t="shared" si="8"/>
        <v>1</v>
      </c>
      <c r="AL36" s="259">
        <f t="shared" ref="AL36:BO36" si="19">IF(AND(C$24&lt;&gt;"",OR(C36=TRUE,C36="✔")),AK36+1,0)</f>
        <v>2</v>
      </c>
      <c r="AM36" s="259">
        <f t="shared" si="19"/>
        <v>3</v>
      </c>
      <c r="AN36" s="259">
        <f t="shared" si="19"/>
        <v>0</v>
      </c>
      <c r="AO36" s="259">
        <f t="shared" si="19"/>
        <v>1</v>
      </c>
      <c r="AP36" s="259">
        <f t="shared" si="19"/>
        <v>0</v>
      </c>
      <c r="AQ36" s="259">
        <f t="shared" si="19"/>
        <v>0</v>
      </c>
      <c r="AR36" s="259">
        <f t="shared" si="19"/>
        <v>0</v>
      </c>
      <c r="AS36" s="259">
        <f t="shared" si="19"/>
        <v>0</v>
      </c>
      <c r="AT36" s="259">
        <f t="shared" si="19"/>
        <v>0</v>
      </c>
      <c r="AU36" s="259">
        <f t="shared" si="19"/>
        <v>0</v>
      </c>
      <c r="AV36" s="259">
        <f t="shared" si="19"/>
        <v>0</v>
      </c>
      <c r="AW36" s="259">
        <f t="shared" si="19"/>
        <v>0</v>
      </c>
      <c r="AX36" s="259">
        <f t="shared" si="19"/>
        <v>0</v>
      </c>
      <c r="AY36" s="268">
        <f t="shared" si="19"/>
        <v>0</v>
      </c>
      <c r="AZ36" s="268">
        <f t="shared" si="19"/>
        <v>0</v>
      </c>
      <c r="BA36" s="268">
        <f t="shared" si="19"/>
        <v>0</v>
      </c>
      <c r="BB36" s="268">
        <f t="shared" si="19"/>
        <v>0</v>
      </c>
      <c r="BC36" s="268">
        <f t="shared" si="19"/>
        <v>0</v>
      </c>
      <c r="BD36" s="268">
        <f t="shared" si="19"/>
        <v>0</v>
      </c>
      <c r="BE36" s="268">
        <f t="shared" si="19"/>
        <v>0</v>
      </c>
      <c r="BF36" s="268">
        <f t="shared" si="19"/>
        <v>0</v>
      </c>
      <c r="BG36" s="268">
        <f t="shared" si="19"/>
        <v>0</v>
      </c>
      <c r="BH36" s="268">
        <f t="shared" si="19"/>
        <v>0</v>
      </c>
      <c r="BI36" s="268">
        <f t="shared" si="19"/>
        <v>0</v>
      </c>
      <c r="BJ36" s="268">
        <f t="shared" si="19"/>
        <v>0</v>
      </c>
      <c r="BK36" s="268">
        <f t="shared" si="19"/>
        <v>0</v>
      </c>
      <c r="BL36" s="268">
        <f t="shared" si="19"/>
        <v>0</v>
      </c>
      <c r="BM36" s="268">
        <f t="shared" si="19"/>
        <v>0</v>
      </c>
      <c r="BN36" s="268">
        <f t="shared" si="19"/>
        <v>0</v>
      </c>
      <c r="BO36" s="268">
        <f t="shared" si="19"/>
        <v>0</v>
      </c>
    </row>
    <row r="37" ht="15.75" customHeight="1">
      <c r="A37" s="257" t="s">
        <v>405</v>
      </c>
      <c r="B37" s="235" t="b">
        <v>1</v>
      </c>
      <c r="C37" s="235" t="b">
        <v>1</v>
      </c>
      <c r="D37" s="235" t="b">
        <v>1</v>
      </c>
      <c r="E37" s="235" t="b">
        <v>0</v>
      </c>
      <c r="F37" s="235" t="b">
        <v>1</v>
      </c>
      <c r="G37" s="235" t="b">
        <v>0</v>
      </c>
      <c r="H37" s="235" t="b">
        <v>0</v>
      </c>
      <c r="I37" s="235" t="b">
        <v>0</v>
      </c>
      <c r="J37" s="235" t="b">
        <v>0</v>
      </c>
      <c r="K37" s="235" t="b">
        <v>0</v>
      </c>
      <c r="L37" s="235" t="b">
        <v>0</v>
      </c>
      <c r="M37" s="235" t="b">
        <v>0</v>
      </c>
      <c r="N37" s="235" t="b">
        <v>0</v>
      </c>
      <c r="O37" s="235" t="b">
        <v>0</v>
      </c>
      <c r="P37" s="235" t="b">
        <v>0</v>
      </c>
      <c r="Q37" s="235" t="b">
        <v>0</v>
      </c>
      <c r="R37" s="235" t="b">
        <v>0</v>
      </c>
      <c r="S37" s="235" t="b">
        <v>0</v>
      </c>
      <c r="T37" s="235" t="b">
        <v>0</v>
      </c>
      <c r="U37" s="235" t="b">
        <v>0</v>
      </c>
      <c r="V37" s="235" t="b">
        <v>0</v>
      </c>
      <c r="W37" s="235" t="b">
        <v>0</v>
      </c>
      <c r="X37" s="235" t="b">
        <v>0</v>
      </c>
      <c r="Y37" s="235" t="b">
        <v>0</v>
      </c>
      <c r="Z37" s="235" t="b">
        <v>0</v>
      </c>
      <c r="AA37" s="235" t="b">
        <v>0</v>
      </c>
      <c r="AB37" s="235" t="b">
        <v>0</v>
      </c>
      <c r="AC37" s="235" t="b">
        <v>0</v>
      </c>
      <c r="AD37" s="235" t="b">
        <v>0</v>
      </c>
      <c r="AE37" s="235" t="b">
        <v>0</v>
      </c>
      <c r="AF37" s="235" t="b">
        <v>0</v>
      </c>
      <c r="AG37" s="267">
        <f t="shared" si="5"/>
        <v>4</v>
      </c>
      <c r="AH37" s="267">
        <f t="shared" si="6"/>
        <v>0</v>
      </c>
      <c r="AI37" s="267">
        <f t="shared" si="7"/>
        <v>3</v>
      </c>
      <c r="AJ37" s="7"/>
      <c r="AK37" s="259">
        <f t="shared" si="8"/>
        <v>1</v>
      </c>
      <c r="AL37" s="259">
        <f t="shared" ref="AL37:BO37" si="20">IF(AND(C$24&lt;&gt;"",OR(C37=TRUE,C37="✔")),AK37+1,0)</f>
        <v>2</v>
      </c>
      <c r="AM37" s="259">
        <f t="shared" si="20"/>
        <v>3</v>
      </c>
      <c r="AN37" s="259">
        <f t="shared" si="20"/>
        <v>0</v>
      </c>
      <c r="AO37" s="259">
        <f t="shared" si="20"/>
        <v>1</v>
      </c>
      <c r="AP37" s="259">
        <f t="shared" si="20"/>
        <v>0</v>
      </c>
      <c r="AQ37" s="259">
        <f t="shared" si="20"/>
        <v>0</v>
      </c>
      <c r="AR37" s="259">
        <f t="shared" si="20"/>
        <v>0</v>
      </c>
      <c r="AS37" s="259">
        <f t="shared" si="20"/>
        <v>0</v>
      </c>
      <c r="AT37" s="259">
        <f t="shared" si="20"/>
        <v>0</v>
      </c>
      <c r="AU37" s="259">
        <f t="shared" si="20"/>
        <v>0</v>
      </c>
      <c r="AV37" s="259">
        <f t="shared" si="20"/>
        <v>0</v>
      </c>
      <c r="AW37" s="259">
        <f t="shared" si="20"/>
        <v>0</v>
      </c>
      <c r="AX37" s="259">
        <f t="shared" si="20"/>
        <v>0</v>
      </c>
      <c r="AY37" s="268">
        <f t="shared" si="20"/>
        <v>0</v>
      </c>
      <c r="AZ37" s="268">
        <f t="shared" si="20"/>
        <v>0</v>
      </c>
      <c r="BA37" s="268">
        <f t="shared" si="20"/>
        <v>0</v>
      </c>
      <c r="BB37" s="268">
        <f t="shared" si="20"/>
        <v>0</v>
      </c>
      <c r="BC37" s="268">
        <f t="shared" si="20"/>
        <v>0</v>
      </c>
      <c r="BD37" s="268">
        <f t="shared" si="20"/>
        <v>0</v>
      </c>
      <c r="BE37" s="268">
        <f t="shared" si="20"/>
        <v>0</v>
      </c>
      <c r="BF37" s="268">
        <f t="shared" si="20"/>
        <v>0</v>
      </c>
      <c r="BG37" s="268">
        <f t="shared" si="20"/>
        <v>0</v>
      </c>
      <c r="BH37" s="268">
        <f t="shared" si="20"/>
        <v>0</v>
      </c>
      <c r="BI37" s="268">
        <f t="shared" si="20"/>
        <v>0</v>
      </c>
      <c r="BJ37" s="268">
        <f t="shared" si="20"/>
        <v>0</v>
      </c>
      <c r="BK37" s="268">
        <f t="shared" si="20"/>
        <v>0</v>
      </c>
      <c r="BL37" s="268">
        <f t="shared" si="20"/>
        <v>0</v>
      </c>
      <c r="BM37" s="268">
        <f t="shared" si="20"/>
        <v>0</v>
      </c>
      <c r="BN37" s="268">
        <f t="shared" si="20"/>
        <v>0</v>
      </c>
      <c r="BO37" s="268">
        <f t="shared" si="20"/>
        <v>0</v>
      </c>
    </row>
    <row r="38" ht="15.75" customHeight="1">
      <c r="A38" s="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67"/>
      <c r="AH38" s="267"/>
      <c r="AI38" s="267"/>
      <c r="AJ38" s="7"/>
      <c r="AK38" s="259">
        <f t="shared" ref="AK38:AK40" si="22">IF(AND(B$24&lt;&gt;"",B38="✔"),1,0)</f>
        <v>0</v>
      </c>
      <c r="AL38" s="259">
        <f t="shared" ref="AL38:BO38" si="21">IF(AND(C$24&lt;&gt;"",C38="✔"),AK38+1,0)</f>
        <v>0</v>
      </c>
      <c r="AM38" s="259">
        <f t="shared" si="21"/>
        <v>0</v>
      </c>
      <c r="AN38" s="259">
        <f t="shared" si="21"/>
        <v>0</v>
      </c>
      <c r="AO38" s="259">
        <f t="shared" si="21"/>
        <v>0</v>
      </c>
      <c r="AP38" s="259">
        <f t="shared" si="21"/>
        <v>0</v>
      </c>
      <c r="AQ38" s="259">
        <f t="shared" si="21"/>
        <v>0</v>
      </c>
      <c r="AR38" s="259">
        <f t="shared" si="21"/>
        <v>0</v>
      </c>
      <c r="AS38" s="259">
        <f t="shared" si="21"/>
        <v>0</v>
      </c>
      <c r="AT38" s="259">
        <f t="shared" si="21"/>
        <v>0</v>
      </c>
      <c r="AU38" s="259">
        <f t="shared" si="21"/>
        <v>0</v>
      </c>
      <c r="AV38" s="259">
        <f t="shared" si="21"/>
        <v>0</v>
      </c>
      <c r="AW38" s="259">
        <f t="shared" si="21"/>
        <v>0</v>
      </c>
      <c r="AX38" s="259">
        <f t="shared" si="21"/>
        <v>0</v>
      </c>
      <c r="AY38" s="268">
        <f t="shared" si="21"/>
        <v>0</v>
      </c>
      <c r="AZ38" s="268">
        <f t="shared" si="21"/>
        <v>0</v>
      </c>
      <c r="BA38" s="268">
        <f t="shared" si="21"/>
        <v>0</v>
      </c>
      <c r="BB38" s="268">
        <f t="shared" si="21"/>
        <v>0</v>
      </c>
      <c r="BC38" s="268">
        <f t="shared" si="21"/>
        <v>0</v>
      </c>
      <c r="BD38" s="268">
        <f t="shared" si="21"/>
        <v>0</v>
      </c>
      <c r="BE38" s="268">
        <f t="shared" si="21"/>
        <v>0</v>
      </c>
      <c r="BF38" s="268">
        <f t="shared" si="21"/>
        <v>0</v>
      </c>
      <c r="BG38" s="268">
        <f t="shared" si="21"/>
        <v>0</v>
      </c>
      <c r="BH38" s="268">
        <f t="shared" si="21"/>
        <v>0</v>
      </c>
      <c r="BI38" s="268">
        <f t="shared" si="21"/>
        <v>0</v>
      </c>
      <c r="BJ38" s="268">
        <f t="shared" si="21"/>
        <v>0</v>
      </c>
      <c r="BK38" s="268">
        <f t="shared" si="21"/>
        <v>0</v>
      </c>
      <c r="BL38" s="268">
        <f t="shared" si="21"/>
        <v>0</v>
      </c>
      <c r="BM38" s="268">
        <f t="shared" si="21"/>
        <v>0</v>
      </c>
      <c r="BN38" s="268">
        <f t="shared" si="21"/>
        <v>0</v>
      </c>
      <c r="BO38" s="268">
        <f t="shared" si="21"/>
        <v>0</v>
      </c>
    </row>
    <row r="39" ht="15.75" customHeight="1">
      <c r="A39" s="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67"/>
      <c r="AH39" s="267"/>
      <c r="AI39" s="267"/>
      <c r="AJ39" s="7"/>
      <c r="AK39" s="259">
        <f t="shared" si="22"/>
        <v>0</v>
      </c>
      <c r="AL39" s="259">
        <f t="shared" ref="AL39:BO39" si="23">IF(AND(C$24&lt;&gt;"",C39="✔"),AK39+1,0)</f>
        <v>0</v>
      </c>
      <c r="AM39" s="259">
        <f t="shared" si="23"/>
        <v>0</v>
      </c>
      <c r="AN39" s="259">
        <f t="shared" si="23"/>
        <v>0</v>
      </c>
      <c r="AO39" s="259">
        <f t="shared" si="23"/>
        <v>0</v>
      </c>
      <c r="AP39" s="259">
        <f t="shared" si="23"/>
        <v>0</v>
      </c>
      <c r="AQ39" s="259">
        <f t="shared" si="23"/>
        <v>0</v>
      </c>
      <c r="AR39" s="259">
        <f t="shared" si="23"/>
        <v>0</v>
      </c>
      <c r="AS39" s="259">
        <f t="shared" si="23"/>
        <v>0</v>
      </c>
      <c r="AT39" s="259">
        <f t="shared" si="23"/>
        <v>0</v>
      </c>
      <c r="AU39" s="259">
        <f t="shared" si="23"/>
        <v>0</v>
      </c>
      <c r="AV39" s="259">
        <f t="shared" si="23"/>
        <v>0</v>
      </c>
      <c r="AW39" s="259">
        <f t="shared" si="23"/>
        <v>0</v>
      </c>
      <c r="AX39" s="259">
        <f t="shared" si="23"/>
        <v>0</v>
      </c>
      <c r="AY39" s="268">
        <f t="shared" si="23"/>
        <v>0</v>
      </c>
      <c r="AZ39" s="268">
        <f t="shared" si="23"/>
        <v>0</v>
      </c>
      <c r="BA39" s="268">
        <f t="shared" si="23"/>
        <v>0</v>
      </c>
      <c r="BB39" s="268">
        <f t="shared" si="23"/>
        <v>0</v>
      </c>
      <c r="BC39" s="268">
        <f t="shared" si="23"/>
        <v>0</v>
      </c>
      <c r="BD39" s="268">
        <f t="shared" si="23"/>
        <v>0</v>
      </c>
      <c r="BE39" s="268">
        <f t="shared" si="23"/>
        <v>0</v>
      </c>
      <c r="BF39" s="268">
        <f t="shared" si="23"/>
        <v>0</v>
      </c>
      <c r="BG39" s="268">
        <f t="shared" si="23"/>
        <v>0</v>
      </c>
      <c r="BH39" s="268">
        <f t="shared" si="23"/>
        <v>0</v>
      </c>
      <c r="BI39" s="268">
        <f t="shared" si="23"/>
        <v>0</v>
      </c>
      <c r="BJ39" s="268">
        <f t="shared" si="23"/>
        <v>0</v>
      </c>
      <c r="BK39" s="268">
        <f t="shared" si="23"/>
        <v>0</v>
      </c>
      <c r="BL39" s="268">
        <f t="shared" si="23"/>
        <v>0</v>
      </c>
      <c r="BM39" s="268">
        <f t="shared" si="23"/>
        <v>0</v>
      </c>
      <c r="BN39" s="268">
        <f t="shared" si="23"/>
        <v>0</v>
      </c>
      <c r="BO39" s="268">
        <f t="shared" si="23"/>
        <v>0</v>
      </c>
    </row>
    <row r="40" ht="15.75" customHeight="1">
      <c r="A40" s="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67"/>
      <c r="AH40" s="267"/>
      <c r="AI40" s="267"/>
      <c r="AJ40" s="7"/>
      <c r="AK40" s="259">
        <f t="shared" si="22"/>
        <v>0</v>
      </c>
      <c r="AL40" s="259">
        <f t="shared" ref="AL40:BO40" si="24">IF(AND(C$24&lt;&gt;"",C40="✔"),AK40+1,0)</f>
        <v>0</v>
      </c>
      <c r="AM40" s="259">
        <f t="shared" si="24"/>
        <v>0</v>
      </c>
      <c r="AN40" s="259">
        <f t="shared" si="24"/>
        <v>0</v>
      </c>
      <c r="AO40" s="259">
        <f t="shared" si="24"/>
        <v>0</v>
      </c>
      <c r="AP40" s="259">
        <f t="shared" si="24"/>
        <v>0</v>
      </c>
      <c r="AQ40" s="259">
        <f t="shared" si="24"/>
        <v>0</v>
      </c>
      <c r="AR40" s="259">
        <f t="shared" si="24"/>
        <v>0</v>
      </c>
      <c r="AS40" s="259">
        <f t="shared" si="24"/>
        <v>0</v>
      </c>
      <c r="AT40" s="259">
        <f t="shared" si="24"/>
        <v>0</v>
      </c>
      <c r="AU40" s="259">
        <f t="shared" si="24"/>
        <v>0</v>
      </c>
      <c r="AV40" s="259">
        <f t="shared" si="24"/>
        <v>0</v>
      </c>
      <c r="AW40" s="259">
        <f t="shared" si="24"/>
        <v>0</v>
      </c>
      <c r="AX40" s="259">
        <f t="shared" si="24"/>
        <v>0</v>
      </c>
      <c r="AY40" s="268">
        <f t="shared" si="24"/>
        <v>0</v>
      </c>
      <c r="AZ40" s="268">
        <f t="shared" si="24"/>
        <v>0</v>
      </c>
      <c r="BA40" s="268">
        <f t="shared" si="24"/>
        <v>0</v>
      </c>
      <c r="BB40" s="268">
        <f t="shared" si="24"/>
        <v>0</v>
      </c>
      <c r="BC40" s="268">
        <f t="shared" si="24"/>
        <v>0</v>
      </c>
      <c r="BD40" s="268">
        <f t="shared" si="24"/>
        <v>0</v>
      </c>
      <c r="BE40" s="268">
        <f t="shared" si="24"/>
        <v>0</v>
      </c>
      <c r="BF40" s="268">
        <f t="shared" si="24"/>
        <v>0</v>
      </c>
      <c r="BG40" s="268">
        <f t="shared" si="24"/>
        <v>0</v>
      </c>
      <c r="BH40" s="268">
        <f t="shared" si="24"/>
        <v>0</v>
      </c>
      <c r="BI40" s="268">
        <f t="shared" si="24"/>
        <v>0</v>
      </c>
      <c r="BJ40" s="268">
        <f t="shared" si="24"/>
        <v>0</v>
      </c>
      <c r="BK40" s="268">
        <f t="shared" si="24"/>
        <v>0</v>
      </c>
      <c r="BL40" s="268">
        <f t="shared" si="24"/>
        <v>0</v>
      </c>
      <c r="BM40" s="268">
        <f t="shared" si="24"/>
        <v>0</v>
      </c>
      <c r="BN40" s="268">
        <f t="shared" si="24"/>
        <v>0</v>
      </c>
      <c r="BO40" s="268">
        <f t="shared" si="24"/>
        <v>0</v>
      </c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>
      <c r="Z99" s="295" t="b">
        <v>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H24:AH25"/>
    <mergeCell ref="AI24:AI25"/>
    <mergeCell ref="A1:AH1"/>
    <mergeCell ref="B3:D3"/>
    <mergeCell ref="AG3:AI3"/>
    <mergeCell ref="B4:D4"/>
    <mergeCell ref="AG4:AI4"/>
    <mergeCell ref="A24:A25"/>
    <mergeCell ref="AG24:AG25"/>
  </mergeCells>
  <conditionalFormatting sqref="B26:AF40">
    <cfRule type="expression" dxfId="19" priority="1" stopIfTrue="1">
      <formula>OR(B26=TRUE,B26="✔")</formula>
    </cfRule>
  </conditionalFormatting>
  <conditionalFormatting sqref="B26:AF40">
    <cfRule type="expression" dxfId="22" priority="2">
      <formula>B$24=""</formula>
    </cfRule>
  </conditionalFormatting>
  <conditionalFormatting sqref="B24:AF25">
    <cfRule type="expression" dxfId="8" priority="3">
      <formula>AND(B$24&lt;&gt;"",OR(B$25="T7",B$25="CN"))</formula>
    </cfRule>
  </conditionalFormatting>
  <dataValidations>
    <dataValidation type="list" allowBlank="1" sqref="B4">
      <formula1>"1,2,3,4,5,6,7,8,9,10,11,12"</formula1>
    </dataValidation>
  </dataValidations>
  <hyperlinks>
    <hyperlink display="⌂ Về Dashboard" location="Dashboard!A1" ref="AI1"/>
  </hyperlink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B26B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35.86"/>
    <col customWidth="1" min="3" max="5" width="13.71"/>
    <col customWidth="1" min="6" max="6" width="14.43"/>
    <col customWidth="1" min="7" max="7" width="28.71"/>
    <col customWidth="1" min="8" max="26" width="8.71"/>
  </cols>
  <sheetData>
    <row r="1" ht="30.0" customHeight="1">
      <c r="A1" s="242" t="s">
        <v>344</v>
      </c>
      <c r="B1" s="167"/>
      <c r="C1" s="167"/>
      <c r="D1" s="167"/>
      <c r="E1" s="216"/>
      <c r="F1" s="217" t="s">
        <v>2</v>
      </c>
      <c r="G1" s="17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189" t="s">
        <v>347</v>
      </c>
      <c r="C3" s="189" t="s">
        <v>348</v>
      </c>
      <c r="D3" s="189" t="s">
        <v>349</v>
      </c>
      <c r="E3" s="189" t="s">
        <v>221</v>
      </c>
      <c r="F3" s="244" t="s">
        <v>350</v>
      </c>
      <c r="G3" s="244" t="s">
        <v>200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247">
        <f>COUNTA(B7:B106)</f>
        <v>6</v>
      </c>
      <c r="C4" s="247">
        <f>COUNTIF(A7:A106,TRUE)+COUNTIF(A7:A106,"✔")</f>
        <v>1</v>
      </c>
      <c r="D4" s="247">
        <f>B4-C4</f>
        <v>5</v>
      </c>
      <c r="E4" s="247">
        <f>COUNTIFS(E7:E106,"&lt;"&amp;TODAY(),A7:A106,FALSE,B7:B106,"&lt;&gt;")</f>
        <v>3</v>
      </c>
      <c r="F4" s="249">
        <f>IF(B4=0, 0, C4/B4)</f>
        <v>0.1666666667</v>
      </c>
      <c r="G4" s="250" t="str">
        <f>IFERROR(__xludf.DUMMYFUNCTION("IF(B4=0, """", SPARKLINE(C4/B4, {""charttype"",""bar""; ""max"",1; ""color1"",""#1a73e8""}))"),"")</f>
        <v/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28" t="s">
        <v>352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28" t="s">
        <v>354</v>
      </c>
      <c r="B6" s="28" t="s">
        <v>355</v>
      </c>
      <c r="C6" s="28" t="s">
        <v>356</v>
      </c>
      <c r="D6" s="28" t="s">
        <v>357</v>
      </c>
      <c r="E6" s="28" t="s">
        <v>358</v>
      </c>
      <c r="F6" s="28" t="s">
        <v>228</v>
      </c>
      <c r="G6" s="28" t="s">
        <v>27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53" t="b">
        <v>1</v>
      </c>
      <c r="B7" s="34" t="s">
        <v>359</v>
      </c>
      <c r="C7" s="34" t="s">
        <v>80</v>
      </c>
      <c r="D7" s="34" t="s">
        <v>49</v>
      </c>
      <c r="E7" s="14">
        <v>46290.0</v>
      </c>
      <c r="F7" s="200" t="str">
        <f t="shared" ref="F7:F12" si="1">IF(E7="","",IF(OR(A7=TRUE,A7="✔"),"✔",E7-TODAY()))</f>
        <v>✔</v>
      </c>
      <c r="G7" s="34" t="s">
        <v>360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53" t="b">
        <v>0</v>
      </c>
      <c r="B8" s="34" t="s">
        <v>361</v>
      </c>
      <c r="C8" s="34" t="s">
        <v>80</v>
      </c>
      <c r="D8" s="34" t="s">
        <v>49</v>
      </c>
      <c r="E8" s="14">
        <v>46305.0</v>
      </c>
      <c r="F8" s="200">
        <f t="shared" si="1"/>
        <v>-1</v>
      </c>
      <c r="G8" s="34" t="s">
        <v>362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53" t="b">
        <v>0</v>
      </c>
      <c r="B9" s="34" t="s">
        <v>363</v>
      </c>
      <c r="C9" s="34" t="s">
        <v>364</v>
      </c>
      <c r="D9" s="34" t="s">
        <v>365</v>
      </c>
      <c r="E9" s="255">
        <v>46300.0</v>
      </c>
      <c r="F9" s="200">
        <f t="shared" si="1"/>
        <v>-6</v>
      </c>
      <c r="G9" s="3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53" t="b">
        <v>0</v>
      </c>
      <c r="B10" s="34" t="s">
        <v>366</v>
      </c>
      <c r="C10" s="34" t="s">
        <v>367</v>
      </c>
      <c r="D10" s="34" t="s">
        <v>368</v>
      </c>
      <c r="E10" s="14">
        <v>46320.0</v>
      </c>
      <c r="F10" s="200">
        <f t="shared" si="1"/>
        <v>14</v>
      </c>
      <c r="G10" s="3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53" t="b">
        <v>0</v>
      </c>
      <c r="B11" s="34" t="s">
        <v>369</v>
      </c>
      <c r="C11" s="34" t="s">
        <v>91</v>
      </c>
      <c r="D11" s="34" t="s">
        <v>365</v>
      </c>
      <c r="E11" s="255">
        <v>46305.0</v>
      </c>
      <c r="F11" s="200">
        <f t="shared" si="1"/>
        <v>-1</v>
      </c>
      <c r="G11" s="257" t="s">
        <v>370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53" t="b">
        <v>0</v>
      </c>
      <c r="B12" s="34" t="s">
        <v>371</v>
      </c>
      <c r="C12" s="34" t="s">
        <v>80</v>
      </c>
      <c r="D12" s="34" t="s">
        <v>49</v>
      </c>
      <c r="E12" s="14">
        <v>46310.0</v>
      </c>
      <c r="F12" s="200">
        <f t="shared" si="1"/>
        <v>4</v>
      </c>
      <c r="G12" s="34" t="s">
        <v>372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58"/>
      <c r="B13" s="34"/>
      <c r="C13" s="34"/>
      <c r="D13" s="34"/>
      <c r="E13" s="14"/>
      <c r="F13" s="200"/>
      <c r="G13" s="3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58"/>
      <c r="B14" s="34"/>
      <c r="C14" s="34"/>
      <c r="D14" s="34"/>
      <c r="E14" s="14"/>
      <c r="F14" s="200"/>
      <c r="G14" s="3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58"/>
      <c r="B15" s="34"/>
      <c r="C15" s="34"/>
      <c r="D15" s="34"/>
      <c r="E15" s="14"/>
      <c r="F15" s="200"/>
      <c r="G15" s="3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58"/>
      <c r="B16" s="34"/>
      <c r="C16" s="34"/>
      <c r="D16" s="34"/>
      <c r="E16" s="14"/>
      <c r="F16" s="200"/>
      <c r="G16" s="3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58"/>
      <c r="B17" s="34"/>
      <c r="C17" s="34"/>
      <c r="D17" s="34"/>
      <c r="E17" s="14"/>
      <c r="F17" s="200"/>
      <c r="G17" s="3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58"/>
      <c r="B18" s="34"/>
      <c r="C18" s="34"/>
      <c r="D18" s="34"/>
      <c r="E18" s="14"/>
      <c r="F18" s="200"/>
      <c r="G18" s="3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58"/>
      <c r="B19" s="34"/>
      <c r="C19" s="34"/>
      <c r="D19" s="34"/>
      <c r="E19" s="14"/>
      <c r="F19" s="200"/>
      <c r="G19" s="3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58"/>
      <c r="B20" s="34"/>
      <c r="C20" s="34"/>
      <c r="D20" s="34"/>
      <c r="E20" s="14"/>
      <c r="F20" s="200"/>
      <c r="G20" s="3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58"/>
      <c r="B21" s="34"/>
      <c r="C21" s="34"/>
      <c r="D21" s="34"/>
      <c r="E21" s="14"/>
      <c r="F21" s="200"/>
      <c r="G21" s="3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58"/>
      <c r="B22" s="34"/>
      <c r="C22" s="34"/>
      <c r="D22" s="34"/>
      <c r="E22" s="14"/>
      <c r="F22" s="200"/>
      <c r="G22" s="3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58"/>
      <c r="B23" s="34"/>
      <c r="C23" s="34"/>
      <c r="D23" s="34"/>
      <c r="E23" s="14"/>
      <c r="F23" s="200"/>
      <c r="G23" s="3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58"/>
      <c r="B24" s="34"/>
      <c r="C24" s="34"/>
      <c r="D24" s="34"/>
      <c r="E24" s="14"/>
      <c r="F24" s="200"/>
      <c r="G24" s="3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58"/>
      <c r="B25" s="34"/>
      <c r="C25" s="34"/>
      <c r="D25" s="34"/>
      <c r="E25" s="14"/>
      <c r="F25" s="200"/>
      <c r="G25" s="3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58"/>
      <c r="B26" s="34"/>
      <c r="C26" s="34"/>
      <c r="D26" s="34"/>
      <c r="E26" s="14"/>
      <c r="F26" s="200"/>
      <c r="G26" s="3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58"/>
      <c r="B27" s="34"/>
      <c r="C27" s="34"/>
      <c r="D27" s="34"/>
      <c r="E27" s="14"/>
      <c r="F27" s="200"/>
      <c r="G27" s="3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58"/>
      <c r="B28" s="34"/>
      <c r="C28" s="34"/>
      <c r="D28" s="34"/>
      <c r="E28" s="14"/>
      <c r="F28" s="200"/>
      <c r="G28" s="3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58"/>
      <c r="B29" s="34"/>
      <c r="C29" s="34"/>
      <c r="D29" s="34"/>
      <c r="E29" s="14"/>
      <c r="F29" s="200"/>
      <c r="G29" s="3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58"/>
      <c r="B30" s="34"/>
      <c r="C30" s="34"/>
      <c r="D30" s="34"/>
      <c r="E30" s="14"/>
      <c r="F30" s="200"/>
      <c r="G30" s="3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58"/>
      <c r="B31" s="34"/>
      <c r="C31" s="34"/>
      <c r="D31" s="34"/>
      <c r="E31" s="14"/>
      <c r="F31" s="200"/>
      <c r="G31" s="3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58"/>
      <c r="B32" s="34"/>
      <c r="C32" s="34"/>
      <c r="D32" s="34"/>
      <c r="E32" s="14"/>
      <c r="F32" s="200"/>
      <c r="G32" s="3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58"/>
      <c r="B33" s="34"/>
      <c r="C33" s="34"/>
      <c r="D33" s="34"/>
      <c r="E33" s="14"/>
      <c r="F33" s="200"/>
      <c r="G33" s="3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58"/>
      <c r="B34" s="34"/>
      <c r="C34" s="34"/>
      <c r="D34" s="34"/>
      <c r="E34" s="14"/>
      <c r="F34" s="200"/>
      <c r="G34" s="3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58"/>
      <c r="B35" s="34"/>
      <c r="C35" s="34"/>
      <c r="D35" s="34"/>
      <c r="E35" s="14"/>
      <c r="F35" s="200"/>
      <c r="G35" s="3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58"/>
      <c r="B36" s="34"/>
      <c r="C36" s="34"/>
      <c r="D36" s="34"/>
      <c r="E36" s="14"/>
      <c r="F36" s="200"/>
      <c r="G36" s="3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58"/>
      <c r="B37" s="34"/>
      <c r="C37" s="34"/>
      <c r="D37" s="34"/>
      <c r="E37" s="14"/>
      <c r="F37" s="200"/>
      <c r="G37" s="3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58"/>
      <c r="B38" s="34"/>
      <c r="C38" s="34"/>
      <c r="D38" s="34"/>
      <c r="E38" s="14"/>
      <c r="F38" s="200"/>
      <c r="G38" s="3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58"/>
      <c r="B39" s="34"/>
      <c r="C39" s="34"/>
      <c r="D39" s="34"/>
      <c r="E39" s="14"/>
      <c r="F39" s="200"/>
      <c r="G39" s="3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58"/>
      <c r="B40" s="34"/>
      <c r="C40" s="34"/>
      <c r="D40" s="34"/>
      <c r="E40" s="14"/>
      <c r="F40" s="200"/>
      <c r="G40" s="3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58"/>
      <c r="B41" s="34"/>
      <c r="C41" s="34"/>
      <c r="D41" s="34"/>
      <c r="E41" s="14"/>
      <c r="F41" s="200"/>
      <c r="G41" s="3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58"/>
      <c r="B42" s="34"/>
      <c r="C42" s="34"/>
      <c r="D42" s="34"/>
      <c r="E42" s="14"/>
      <c r="F42" s="200"/>
      <c r="G42" s="3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58"/>
      <c r="B43" s="34"/>
      <c r="C43" s="34"/>
      <c r="D43" s="34"/>
      <c r="E43" s="14"/>
      <c r="F43" s="200"/>
      <c r="G43" s="3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58"/>
      <c r="B44" s="34"/>
      <c r="C44" s="34"/>
      <c r="D44" s="34"/>
      <c r="E44" s="14"/>
      <c r="F44" s="200"/>
      <c r="G44" s="3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58"/>
      <c r="B45" s="34"/>
      <c r="C45" s="34"/>
      <c r="D45" s="34"/>
      <c r="E45" s="14"/>
      <c r="F45" s="200"/>
      <c r="G45" s="3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58"/>
      <c r="B46" s="34"/>
      <c r="C46" s="34"/>
      <c r="D46" s="34"/>
      <c r="E46" s="14"/>
      <c r="F46" s="200"/>
      <c r="G46" s="34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58"/>
      <c r="B47" s="34"/>
      <c r="C47" s="34"/>
      <c r="D47" s="34"/>
      <c r="E47" s="14"/>
      <c r="F47" s="200"/>
      <c r="G47" s="34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58"/>
      <c r="B48" s="34"/>
      <c r="C48" s="34"/>
      <c r="D48" s="34"/>
      <c r="E48" s="14"/>
      <c r="F48" s="200"/>
      <c r="G48" s="34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58"/>
      <c r="B49" s="34"/>
      <c r="C49" s="34"/>
      <c r="D49" s="34"/>
      <c r="E49" s="14"/>
      <c r="F49" s="200"/>
      <c r="G49" s="34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58"/>
      <c r="B50" s="34"/>
      <c r="C50" s="34"/>
      <c r="D50" s="34"/>
      <c r="E50" s="14"/>
      <c r="F50" s="200"/>
      <c r="G50" s="3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58"/>
      <c r="B51" s="34"/>
      <c r="C51" s="34"/>
      <c r="D51" s="34"/>
      <c r="E51" s="14"/>
      <c r="F51" s="200"/>
      <c r="G51" s="34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58"/>
      <c r="B52" s="34"/>
      <c r="C52" s="34"/>
      <c r="D52" s="34"/>
      <c r="E52" s="14"/>
      <c r="F52" s="200"/>
      <c r="G52" s="34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58"/>
      <c r="B53" s="34"/>
      <c r="C53" s="34"/>
      <c r="D53" s="34"/>
      <c r="E53" s="14"/>
      <c r="F53" s="200"/>
      <c r="G53" s="3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58"/>
      <c r="B54" s="34"/>
      <c r="C54" s="34"/>
      <c r="D54" s="34"/>
      <c r="E54" s="14"/>
      <c r="F54" s="200"/>
      <c r="G54" s="3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58"/>
      <c r="B55" s="34"/>
      <c r="C55" s="34"/>
      <c r="D55" s="34"/>
      <c r="E55" s="14"/>
      <c r="F55" s="200"/>
      <c r="G55" s="3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58"/>
      <c r="B56" s="34"/>
      <c r="C56" s="34"/>
      <c r="D56" s="34"/>
      <c r="E56" s="14"/>
      <c r="F56" s="200"/>
      <c r="G56" s="34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58"/>
      <c r="B57" s="34"/>
      <c r="C57" s="34"/>
      <c r="D57" s="34"/>
      <c r="E57" s="14"/>
      <c r="F57" s="200"/>
      <c r="G57" s="3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58"/>
      <c r="B58" s="34"/>
      <c r="C58" s="34"/>
      <c r="D58" s="34"/>
      <c r="E58" s="14"/>
      <c r="F58" s="200"/>
      <c r="G58" s="3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58"/>
      <c r="B59" s="34"/>
      <c r="C59" s="34"/>
      <c r="D59" s="34"/>
      <c r="E59" s="14"/>
      <c r="F59" s="200"/>
      <c r="G59" s="34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58"/>
      <c r="B60" s="34"/>
      <c r="C60" s="34"/>
      <c r="D60" s="34"/>
      <c r="E60" s="14"/>
      <c r="F60" s="200"/>
      <c r="G60" s="34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62"/>
      <c r="B61" s="192"/>
      <c r="C61" s="192"/>
      <c r="D61" s="192"/>
      <c r="E61" s="263"/>
      <c r="F61" s="207"/>
      <c r="G61" s="192"/>
    </row>
    <row r="62" ht="15.75" customHeight="1">
      <c r="A62" s="262"/>
      <c r="B62" s="192"/>
      <c r="C62" s="192"/>
      <c r="D62" s="192"/>
      <c r="E62" s="263"/>
      <c r="F62" s="207"/>
      <c r="G62" s="192"/>
    </row>
    <row r="63" ht="15.75" customHeight="1">
      <c r="A63" s="262"/>
      <c r="B63" s="192"/>
      <c r="C63" s="192"/>
      <c r="D63" s="192"/>
      <c r="E63" s="263"/>
      <c r="F63" s="207"/>
      <c r="G63" s="192"/>
    </row>
    <row r="64" ht="15.75" customHeight="1">
      <c r="A64" s="262"/>
      <c r="B64" s="192"/>
      <c r="C64" s="192"/>
      <c r="D64" s="192"/>
      <c r="E64" s="263"/>
      <c r="F64" s="207"/>
      <c r="G64" s="192"/>
    </row>
    <row r="65" ht="15.75" customHeight="1">
      <c r="A65" s="262"/>
      <c r="B65" s="192"/>
      <c r="C65" s="192"/>
      <c r="D65" s="192"/>
      <c r="E65" s="263"/>
      <c r="F65" s="207"/>
      <c r="G65" s="192"/>
    </row>
    <row r="66" ht="15.75" customHeight="1">
      <c r="A66" s="262"/>
      <c r="B66" s="192"/>
      <c r="C66" s="192"/>
      <c r="D66" s="192"/>
      <c r="E66" s="263"/>
      <c r="F66" s="207"/>
      <c r="G66" s="192"/>
    </row>
    <row r="67" ht="15.75" customHeight="1">
      <c r="A67" s="262"/>
      <c r="B67" s="192"/>
      <c r="C67" s="192"/>
      <c r="D67" s="192"/>
      <c r="E67" s="263"/>
      <c r="F67" s="207"/>
      <c r="G67" s="192"/>
    </row>
    <row r="68" ht="15.75" customHeight="1">
      <c r="A68" s="262"/>
      <c r="B68" s="192"/>
      <c r="C68" s="192"/>
      <c r="D68" s="192"/>
      <c r="E68" s="263"/>
      <c r="F68" s="207"/>
      <c r="G68" s="192"/>
    </row>
    <row r="69" ht="15.75" customHeight="1">
      <c r="A69" s="262"/>
      <c r="B69" s="192"/>
      <c r="C69" s="192"/>
      <c r="D69" s="192"/>
      <c r="E69" s="263"/>
      <c r="F69" s="207"/>
      <c r="G69" s="192"/>
    </row>
    <row r="70" ht="15.75" customHeight="1">
      <c r="A70" s="262"/>
      <c r="B70" s="192"/>
      <c r="C70" s="192"/>
      <c r="D70" s="192"/>
      <c r="E70" s="263"/>
      <c r="F70" s="207"/>
      <c r="G70" s="192"/>
    </row>
    <row r="71" ht="15.75" customHeight="1">
      <c r="A71" s="262"/>
      <c r="B71" s="192"/>
      <c r="C71" s="192"/>
      <c r="D71" s="192"/>
      <c r="E71" s="263"/>
      <c r="F71" s="207"/>
      <c r="G71" s="192"/>
    </row>
    <row r="72" ht="15.75" customHeight="1">
      <c r="A72" s="262"/>
      <c r="B72" s="192"/>
      <c r="C72" s="192"/>
      <c r="D72" s="192"/>
      <c r="E72" s="263"/>
      <c r="F72" s="207"/>
      <c r="G72" s="192"/>
    </row>
    <row r="73" ht="15.75" customHeight="1">
      <c r="A73" s="262"/>
      <c r="B73" s="192"/>
      <c r="C73" s="192"/>
      <c r="D73" s="192"/>
      <c r="E73" s="263"/>
      <c r="F73" s="207"/>
      <c r="G73" s="192"/>
    </row>
    <row r="74" ht="15.75" customHeight="1">
      <c r="A74" s="262"/>
      <c r="B74" s="192"/>
      <c r="C74" s="192"/>
      <c r="D74" s="192"/>
      <c r="E74" s="263"/>
      <c r="F74" s="207"/>
      <c r="G74" s="192"/>
    </row>
    <row r="75" ht="15.75" customHeight="1">
      <c r="A75" s="262"/>
      <c r="B75" s="192"/>
      <c r="C75" s="192"/>
      <c r="D75" s="192"/>
      <c r="E75" s="263"/>
      <c r="F75" s="207"/>
      <c r="G75" s="192"/>
    </row>
    <row r="76" ht="15.75" customHeight="1">
      <c r="A76" s="262"/>
      <c r="B76" s="192"/>
      <c r="C76" s="192"/>
      <c r="D76" s="192"/>
      <c r="E76" s="263"/>
      <c r="F76" s="207"/>
      <c r="G76" s="192"/>
    </row>
    <row r="77" ht="15.75" customHeight="1">
      <c r="A77" s="262"/>
      <c r="B77" s="192"/>
      <c r="C77" s="192"/>
      <c r="D77" s="192"/>
      <c r="E77" s="263"/>
      <c r="F77" s="207"/>
      <c r="G77" s="192"/>
    </row>
    <row r="78" ht="15.75" customHeight="1">
      <c r="A78" s="262"/>
      <c r="B78" s="192"/>
      <c r="C78" s="192"/>
      <c r="D78" s="192"/>
      <c r="E78" s="263"/>
      <c r="F78" s="207"/>
      <c r="G78" s="192"/>
    </row>
    <row r="79" ht="15.75" customHeight="1">
      <c r="A79" s="262"/>
      <c r="B79" s="192"/>
      <c r="C79" s="192"/>
      <c r="D79" s="192"/>
      <c r="E79" s="263"/>
      <c r="F79" s="207"/>
      <c r="G79" s="192"/>
    </row>
    <row r="80" ht="15.75" customHeight="1">
      <c r="A80" s="262"/>
      <c r="B80" s="192"/>
      <c r="C80" s="192"/>
      <c r="D80" s="192"/>
      <c r="E80" s="263"/>
      <c r="F80" s="207"/>
      <c r="G80" s="192"/>
    </row>
    <row r="81" ht="15.75" customHeight="1">
      <c r="A81" s="262"/>
      <c r="B81" s="192"/>
      <c r="C81" s="192"/>
      <c r="D81" s="192"/>
      <c r="E81" s="263"/>
      <c r="F81" s="207"/>
      <c r="G81" s="192"/>
    </row>
    <row r="82" ht="15.75" customHeight="1">
      <c r="A82" s="262"/>
      <c r="B82" s="192"/>
      <c r="C82" s="192"/>
      <c r="D82" s="192"/>
      <c r="E82" s="263"/>
      <c r="F82" s="207"/>
      <c r="G82" s="192"/>
    </row>
    <row r="83" ht="15.75" customHeight="1">
      <c r="A83" s="262"/>
      <c r="B83" s="192"/>
      <c r="C83" s="192"/>
      <c r="D83" s="192"/>
      <c r="E83" s="263"/>
      <c r="F83" s="207"/>
      <c r="G83" s="192"/>
    </row>
    <row r="84" ht="15.75" customHeight="1">
      <c r="A84" s="262"/>
      <c r="B84" s="192"/>
      <c r="C84" s="192"/>
      <c r="D84" s="192"/>
      <c r="E84" s="263"/>
      <c r="F84" s="207"/>
      <c r="G84" s="192"/>
    </row>
    <row r="85" ht="15.75" customHeight="1">
      <c r="A85" s="262"/>
      <c r="B85" s="192"/>
      <c r="C85" s="192"/>
      <c r="D85" s="192"/>
      <c r="E85" s="263"/>
      <c r="F85" s="207"/>
      <c r="G85" s="192"/>
    </row>
    <row r="86" ht="15.75" customHeight="1">
      <c r="A86" s="262"/>
      <c r="B86" s="192"/>
      <c r="C86" s="192"/>
      <c r="D86" s="192"/>
      <c r="E86" s="263"/>
      <c r="F86" s="207"/>
      <c r="G86" s="192"/>
    </row>
    <row r="87" ht="15.75" customHeight="1">
      <c r="A87" s="262"/>
      <c r="B87" s="192"/>
      <c r="C87" s="192"/>
      <c r="D87" s="192"/>
      <c r="E87" s="263"/>
      <c r="F87" s="207"/>
      <c r="G87" s="192"/>
    </row>
    <row r="88" ht="15.75" customHeight="1">
      <c r="A88" s="262"/>
      <c r="B88" s="192"/>
      <c r="C88" s="192"/>
      <c r="D88" s="192"/>
      <c r="E88" s="263"/>
      <c r="F88" s="207"/>
      <c r="G88" s="192"/>
    </row>
    <row r="89" ht="15.75" customHeight="1">
      <c r="A89" s="262"/>
      <c r="B89" s="192"/>
      <c r="C89" s="192"/>
      <c r="D89" s="192"/>
      <c r="E89" s="263"/>
      <c r="F89" s="207"/>
      <c r="G89" s="192"/>
    </row>
    <row r="90" ht="15.75" customHeight="1">
      <c r="A90" s="262"/>
      <c r="B90" s="192"/>
      <c r="C90" s="192"/>
      <c r="D90" s="192"/>
      <c r="E90" s="263"/>
      <c r="F90" s="207"/>
      <c r="G90" s="192"/>
    </row>
    <row r="91" ht="15.75" customHeight="1">
      <c r="A91" s="262"/>
      <c r="B91" s="192"/>
      <c r="C91" s="192"/>
      <c r="D91" s="192"/>
      <c r="E91" s="263"/>
      <c r="F91" s="207"/>
      <c r="G91" s="192"/>
    </row>
    <row r="92" ht="15.75" customHeight="1">
      <c r="A92" s="262"/>
      <c r="B92" s="192"/>
      <c r="C92" s="192"/>
      <c r="D92" s="192"/>
      <c r="E92" s="263"/>
      <c r="F92" s="207"/>
      <c r="G92" s="192"/>
    </row>
    <row r="93" ht="15.75" customHeight="1">
      <c r="A93" s="262"/>
      <c r="B93" s="192"/>
      <c r="C93" s="192"/>
      <c r="D93" s="192"/>
      <c r="E93" s="263"/>
      <c r="F93" s="207"/>
      <c r="G93" s="192"/>
    </row>
    <row r="94" ht="15.75" customHeight="1">
      <c r="A94" s="262"/>
      <c r="B94" s="192"/>
      <c r="C94" s="192"/>
      <c r="D94" s="192"/>
      <c r="E94" s="263"/>
      <c r="F94" s="207"/>
      <c r="G94" s="192"/>
    </row>
    <row r="95" ht="15.75" customHeight="1">
      <c r="A95" s="262"/>
      <c r="B95" s="192"/>
      <c r="C95" s="192"/>
      <c r="D95" s="192"/>
      <c r="E95" s="263"/>
      <c r="F95" s="207"/>
      <c r="G95" s="192"/>
    </row>
    <row r="96" ht="15.75" customHeight="1">
      <c r="A96" s="262"/>
      <c r="B96" s="192"/>
      <c r="C96" s="192"/>
      <c r="D96" s="192"/>
      <c r="E96" s="263"/>
      <c r="F96" s="207"/>
      <c r="G96" s="192"/>
    </row>
    <row r="97" ht="15.75" customHeight="1">
      <c r="A97" s="262"/>
      <c r="B97" s="192"/>
      <c r="C97" s="192"/>
      <c r="D97" s="192"/>
      <c r="E97" s="263"/>
      <c r="F97" s="207"/>
      <c r="G97" s="192"/>
    </row>
    <row r="98" ht="15.75" customHeight="1">
      <c r="A98" s="262"/>
      <c r="B98" s="192"/>
      <c r="C98" s="192"/>
      <c r="D98" s="192"/>
      <c r="E98" s="263"/>
      <c r="F98" s="207"/>
      <c r="G98" s="192"/>
    </row>
    <row r="99" ht="15.75" customHeight="1">
      <c r="A99" s="262"/>
      <c r="B99" s="192"/>
      <c r="C99" s="192"/>
      <c r="D99" s="192"/>
      <c r="E99" s="263"/>
      <c r="F99" s="207"/>
      <c r="G99" s="192"/>
    </row>
    <row r="100" ht="15.75" customHeight="1">
      <c r="A100" s="262"/>
      <c r="B100" s="192"/>
      <c r="C100" s="192"/>
      <c r="D100" s="192"/>
      <c r="E100" s="263"/>
      <c r="F100" s="207"/>
      <c r="G100" s="192"/>
    </row>
    <row r="101" ht="15.75" customHeight="1">
      <c r="A101" s="262"/>
      <c r="B101" s="192"/>
      <c r="C101" s="192"/>
      <c r="D101" s="192"/>
      <c r="E101" s="263"/>
      <c r="F101" s="207"/>
      <c r="G101" s="192"/>
    </row>
    <row r="102" ht="15.75" customHeight="1">
      <c r="A102" s="262"/>
      <c r="B102" s="192"/>
      <c r="C102" s="192"/>
      <c r="D102" s="192"/>
      <c r="E102" s="263"/>
      <c r="F102" s="207"/>
      <c r="G102" s="192"/>
    </row>
    <row r="103" ht="15.75" customHeight="1">
      <c r="A103" s="262"/>
      <c r="B103" s="192"/>
      <c r="C103" s="192"/>
      <c r="D103" s="192"/>
      <c r="E103" s="263"/>
      <c r="F103" s="207"/>
      <c r="G103" s="192"/>
    </row>
    <row r="104" ht="15.75" customHeight="1">
      <c r="A104" s="262"/>
      <c r="B104" s="192"/>
      <c r="C104" s="192"/>
      <c r="D104" s="192"/>
      <c r="E104" s="263"/>
      <c r="F104" s="207"/>
      <c r="G104" s="192"/>
    </row>
    <row r="105" ht="15.75" customHeight="1">
      <c r="A105" s="262"/>
      <c r="B105" s="192"/>
      <c r="C105" s="192"/>
      <c r="D105" s="192"/>
      <c r="E105" s="263"/>
      <c r="F105" s="207"/>
      <c r="G105" s="192"/>
    </row>
    <row r="106" ht="15.75" customHeight="1">
      <c r="A106" s="262"/>
      <c r="B106" s="192"/>
      <c r="C106" s="192"/>
      <c r="D106" s="192"/>
      <c r="E106" s="263"/>
      <c r="F106" s="207"/>
      <c r="G106" s="19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F1:G1"/>
    <mergeCell ref="A5:G5"/>
  </mergeCells>
  <conditionalFormatting sqref="A7:G106">
    <cfRule type="expression" dxfId="11" priority="1" stopIfTrue="1">
      <formula>OR($A7="✔",$A7=TRUE)</formula>
    </cfRule>
  </conditionalFormatting>
  <conditionalFormatting sqref="A7:G106">
    <cfRule type="expression" dxfId="13" priority="2" stopIfTrue="1">
      <formula>AND($A7=FALSE,$E7&lt;&gt;"",ISNUMBER($F7),$F7&lt;0)</formula>
    </cfRule>
  </conditionalFormatting>
  <conditionalFormatting sqref="F7:F12">
    <cfRule type="expression" dxfId="10" priority="3" stopIfTrue="1">
      <formula>AND(ISNUMBER($F7),$F7&lt;=2,$F7&gt;=0)</formula>
    </cfRule>
  </conditionalFormatting>
  <conditionalFormatting sqref="D7:D106">
    <cfRule type="expression" dxfId="20" priority="4">
      <formula>$D7="Cao"</formula>
    </cfRule>
  </conditionalFormatting>
  <conditionalFormatting sqref="D7:D106">
    <cfRule type="expression" dxfId="8" priority="5">
      <formula>$D7="Trung bình"</formula>
    </cfRule>
  </conditionalFormatting>
  <conditionalFormatting sqref="D7:D106">
    <cfRule type="expression" dxfId="3" priority="6">
      <formula>$D7="Thấp"</formula>
    </cfRule>
  </conditionalFormatting>
  <conditionalFormatting sqref="F7:F106">
    <cfRule type="expression" dxfId="15" priority="7">
      <formula>AND(ISNUMBER($F7),$F7&lt;0)</formula>
    </cfRule>
  </conditionalFormatting>
  <dataValidations>
    <dataValidation type="list" allowBlank="1" sqref="C7:C106">
      <formula1>"Học tập,Cá nhân,Gia đình,Sức khỏe,Tài chính,Khác"</formula1>
    </dataValidation>
    <dataValidation type="list" allowBlank="1" sqref="D7:D106">
      <formula1>"Cao,Trung bình,Thấp"</formula1>
    </dataValidation>
  </dataValidations>
  <hyperlinks>
    <hyperlink display="⌂ Về Dashboard" location="Dashboard!A1" ref="F1"/>
  </hyperlink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B26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86"/>
    <col customWidth="1" min="2" max="3" width="12.29"/>
    <col customWidth="1" min="4" max="4" width="40.14"/>
    <col customWidth="1" min="5" max="5" width="15.86"/>
    <col customWidth="1" min="6" max="6" width="35.86"/>
    <col customWidth="1" min="7" max="26" width="8.71"/>
  </cols>
  <sheetData>
    <row r="1" ht="30.0" customHeight="1">
      <c r="A1" s="209" t="s">
        <v>382</v>
      </c>
      <c r="B1" s="3"/>
      <c r="C1" s="3"/>
      <c r="D1" s="3"/>
      <c r="E1" s="3"/>
      <c r="F1" s="111" t="s">
        <v>2</v>
      </c>
      <c r="G1" s="7"/>
      <c r="H1" s="112" t="s">
        <v>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4" t="s">
        <v>383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8" t="s">
        <v>18</v>
      </c>
      <c r="B4" s="28" t="s">
        <v>20</v>
      </c>
      <c r="C4" s="28" t="s">
        <v>21</v>
      </c>
      <c r="D4" s="28" t="s">
        <v>384</v>
      </c>
      <c r="E4" s="28" t="s">
        <v>385</v>
      </c>
      <c r="F4" s="28" t="s">
        <v>27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>
        <v>46293.0</v>
      </c>
      <c r="B5" s="35">
        <v>0.25</v>
      </c>
      <c r="C5" s="35">
        <v>0.291666666666667</v>
      </c>
      <c r="D5" s="34" t="s">
        <v>387</v>
      </c>
      <c r="E5" s="34" t="s">
        <v>388</v>
      </c>
      <c r="F5" s="3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>
        <v>46293.0</v>
      </c>
      <c r="B6" s="35">
        <v>0.333333333333333</v>
      </c>
      <c r="C6" s="35">
        <v>0.375</v>
      </c>
      <c r="D6" s="34" t="s">
        <v>389</v>
      </c>
      <c r="E6" s="34" t="s">
        <v>80</v>
      </c>
      <c r="F6" s="34" t="s">
        <v>390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>
        <v>46294.0</v>
      </c>
      <c r="B7" s="35">
        <v>0.708333333333333</v>
      </c>
      <c r="C7" s="35">
        <v>0.770833333333333</v>
      </c>
      <c r="D7" s="34" t="s">
        <v>391</v>
      </c>
      <c r="E7" s="34" t="s">
        <v>388</v>
      </c>
      <c r="F7" s="3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">
        <v>46295.0</v>
      </c>
      <c r="B8" s="35">
        <v>0.770833333333333</v>
      </c>
      <c r="C8" s="35">
        <v>0.833333333333333</v>
      </c>
      <c r="D8" s="34" t="s">
        <v>392</v>
      </c>
      <c r="E8" s="34" t="s">
        <v>393</v>
      </c>
      <c r="F8" s="3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>
        <v>46296.0</v>
      </c>
      <c r="B9" s="35">
        <v>0.708333333333333</v>
      </c>
      <c r="C9" s="35">
        <v>0.75</v>
      </c>
      <c r="D9" s="34" t="s">
        <v>394</v>
      </c>
      <c r="E9" s="34" t="s">
        <v>91</v>
      </c>
      <c r="F9" s="3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>
        <v>46297.0</v>
      </c>
      <c r="B10" s="35">
        <v>0.791666666666667</v>
      </c>
      <c r="C10" s="35">
        <v>0.875</v>
      </c>
      <c r="D10" s="34" t="s">
        <v>395</v>
      </c>
      <c r="E10" s="34" t="s">
        <v>80</v>
      </c>
      <c r="F10" s="3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>
        <v>46298.0</v>
      </c>
      <c r="B11" s="35">
        <v>0.375</v>
      </c>
      <c r="C11" s="35">
        <v>0.5</v>
      </c>
      <c r="D11" s="34" t="s">
        <v>396</v>
      </c>
      <c r="E11" s="34" t="s">
        <v>78</v>
      </c>
      <c r="F11" s="3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55">
        <v>46300.0</v>
      </c>
      <c r="B12" s="269">
        <v>0.7708333333333334</v>
      </c>
      <c r="C12" s="269">
        <v>0.8541666666666666</v>
      </c>
      <c r="D12" s="257" t="s">
        <v>92</v>
      </c>
      <c r="E12" s="257" t="s">
        <v>91</v>
      </c>
      <c r="F12" s="257" t="s">
        <v>397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55">
        <v>46302.0</v>
      </c>
      <c r="B13" s="269">
        <v>0.3958333333333333</v>
      </c>
      <c r="C13" s="269">
        <v>0.4791666666666667</v>
      </c>
      <c r="D13" s="257" t="s">
        <v>398</v>
      </c>
      <c r="E13" s="257" t="s">
        <v>80</v>
      </c>
      <c r="F13" s="257" t="s">
        <v>399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/>
      <c r="B14" s="35"/>
      <c r="C14" s="35"/>
      <c r="D14" s="34"/>
      <c r="E14" s="34"/>
      <c r="F14" s="3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/>
      <c r="B15" s="35"/>
      <c r="C15" s="35"/>
      <c r="D15" s="34"/>
      <c r="E15" s="34"/>
      <c r="F15" s="3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/>
      <c r="B16" s="35"/>
      <c r="C16" s="35"/>
      <c r="D16" s="34"/>
      <c r="E16" s="34"/>
      <c r="F16" s="3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/>
      <c r="B17" s="35"/>
      <c r="C17" s="35"/>
      <c r="D17" s="34"/>
      <c r="E17" s="34"/>
      <c r="F17" s="3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35"/>
      <c r="C18" s="35"/>
      <c r="D18" s="34"/>
      <c r="E18" s="34"/>
      <c r="F18" s="3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B19" s="35"/>
      <c r="C19" s="35"/>
      <c r="D19" s="34"/>
      <c r="E19" s="34"/>
      <c r="F19" s="3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/>
      <c r="B20" s="35"/>
      <c r="C20" s="35"/>
      <c r="D20" s="34"/>
      <c r="E20" s="34"/>
      <c r="F20" s="3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4"/>
      <c r="B21" s="35"/>
      <c r="C21" s="35"/>
      <c r="D21" s="34"/>
      <c r="E21" s="34"/>
      <c r="F21" s="3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4"/>
      <c r="B22" s="35"/>
      <c r="C22" s="35"/>
      <c r="D22" s="34"/>
      <c r="E22" s="34"/>
      <c r="F22" s="3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4"/>
      <c r="B23" s="35"/>
      <c r="C23" s="35"/>
      <c r="D23" s="34"/>
      <c r="E23" s="34"/>
      <c r="F23" s="3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4"/>
      <c r="B24" s="35"/>
      <c r="C24" s="35"/>
      <c r="D24" s="34"/>
      <c r="E24" s="34"/>
      <c r="F24" s="3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4"/>
      <c r="B25" s="35"/>
      <c r="C25" s="35"/>
      <c r="D25" s="34"/>
      <c r="E25" s="34"/>
      <c r="F25" s="3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4"/>
      <c r="B26" s="35"/>
      <c r="C26" s="35"/>
      <c r="D26" s="34"/>
      <c r="E26" s="34"/>
      <c r="F26" s="3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4"/>
      <c r="B27" s="35"/>
      <c r="C27" s="35"/>
      <c r="D27" s="34"/>
      <c r="E27" s="34"/>
      <c r="F27" s="3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4"/>
      <c r="B28" s="35"/>
      <c r="C28" s="35"/>
      <c r="D28" s="34"/>
      <c r="E28" s="34"/>
      <c r="F28" s="3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4"/>
      <c r="B29" s="35"/>
      <c r="C29" s="35"/>
      <c r="D29" s="34"/>
      <c r="E29" s="34"/>
      <c r="F29" s="3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4"/>
      <c r="B30" s="35"/>
      <c r="C30" s="35"/>
      <c r="D30" s="34"/>
      <c r="E30" s="34"/>
      <c r="F30" s="3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4"/>
      <c r="B31" s="35"/>
      <c r="C31" s="35"/>
      <c r="D31" s="34"/>
      <c r="E31" s="34"/>
      <c r="F31" s="3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4"/>
      <c r="B32" s="35"/>
      <c r="C32" s="35"/>
      <c r="D32" s="34"/>
      <c r="E32" s="34"/>
      <c r="F32" s="3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4"/>
      <c r="B33" s="35"/>
      <c r="C33" s="35"/>
      <c r="D33" s="34"/>
      <c r="E33" s="34"/>
      <c r="F33" s="3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4"/>
      <c r="B34" s="35"/>
      <c r="C34" s="35"/>
      <c r="D34" s="34"/>
      <c r="E34" s="34"/>
      <c r="F34" s="3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4"/>
      <c r="B35" s="35"/>
      <c r="C35" s="35"/>
      <c r="D35" s="34"/>
      <c r="E35" s="34"/>
      <c r="F35" s="3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4"/>
      <c r="B36" s="35"/>
      <c r="C36" s="35"/>
      <c r="D36" s="34"/>
      <c r="E36" s="34"/>
      <c r="F36" s="3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4"/>
      <c r="B37" s="35"/>
      <c r="C37" s="35"/>
      <c r="D37" s="34"/>
      <c r="E37" s="34"/>
      <c r="F37" s="3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4"/>
      <c r="B38" s="35"/>
      <c r="C38" s="35"/>
      <c r="D38" s="34"/>
      <c r="E38" s="34"/>
      <c r="F38" s="3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4"/>
      <c r="B39" s="35"/>
      <c r="C39" s="35"/>
      <c r="D39" s="34"/>
      <c r="E39" s="34"/>
      <c r="F39" s="3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4"/>
      <c r="B40" s="35"/>
      <c r="C40" s="35"/>
      <c r="D40" s="34"/>
      <c r="E40" s="34"/>
      <c r="F40" s="3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4"/>
      <c r="B41" s="35"/>
      <c r="C41" s="35"/>
      <c r="D41" s="34"/>
      <c r="E41" s="34"/>
      <c r="F41" s="3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4"/>
      <c r="B42" s="35"/>
      <c r="C42" s="35"/>
      <c r="D42" s="34"/>
      <c r="E42" s="34"/>
      <c r="F42" s="3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4"/>
      <c r="B43" s="35"/>
      <c r="C43" s="35"/>
      <c r="D43" s="34"/>
      <c r="E43" s="34"/>
      <c r="F43" s="3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4"/>
      <c r="B44" s="35"/>
      <c r="C44" s="35"/>
      <c r="D44" s="34"/>
      <c r="E44" s="34"/>
      <c r="F44" s="3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4"/>
      <c r="B45" s="35"/>
      <c r="C45" s="35"/>
      <c r="D45" s="34"/>
      <c r="E45" s="34"/>
      <c r="F45" s="3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4"/>
      <c r="B46" s="35"/>
      <c r="C46" s="35"/>
      <c r="D46" s="34"/>
      <c r="E46" s="34"/>
      <c r="F46" s="3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4"/>
      <c r="B47" s="35"/>
      <c r="C47" s="35"/>
      <c r="D47" s="34"/>
      <c r="E47" s="34"/>
      <c r="F47" s="3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4"/>
      <c r="B48" s="35"/>
      <c r="C48" s="35"/>
      <c r="D48" s="34"/>
      <c r="E48" s="34"/>
      <c r="F48" s="3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4"/>
      <c r="B49" s="35"/>
      <c r="C49" s="35"/>
      <c r="D49" s="34"/>
      <c r="E49" s="34"/>
      <c r="F49" s="3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4"/>
      <c r="B50" s="35"/>
      <c r="C50" s="35"/>
      <c r="D50" s="34"/>
      <c r="E50" s="34"/>
      <c r="F50" s="3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4"/>
      <c r="B51" s="35"/>
      <c r="C51" s="35"/>
      <c r="D51" s="34"/>
      <c r="E51" s="34"/>
      <c r="F51" s="3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4"/>
      <c r="B52" s="35"/>
      <c r="C52" s="35"/>
      <c r="D52" s="34"/>
      <c r="E52" s="34"/>
      <c r="F52" s="3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4"/>
      <c r="B53" s="35"/>
      <c r="C53" s="35"/>
      <c r="D53" s="34"/>
      <c r="E53" s="34"/>
      <c r="F53" s="3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4"/>
      <c r="B54" s="35"/>
      <c r="C54" s="35"/>
      <c r="D54" s="34"/>
      <c r="E54" s="34"/>
      <c r="F54" s="3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4"/>
      <c r="B55" s="35"/>
      <c r="C55" s="35"/>
      <c r="D55" s="34"/>
      <c r="E55" s="34"/>
      <c r="F55" s="3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4"/>
      <c r="B56" s="35"/>
      <c r="C56" s="35"/>
      <c r="D56" s="34"/>
      <c r="E56" s="34"/>
      <c r="F56" s="3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4"/>
      <c r="B57" s="35"/>
      <c r="C57" s="35"/>
      <c r="D57" s="34"/>
      <c r="E57" s="34"/>
      <c r="F57" s="3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4"/>
      <c r="B58" s="35"/>
      <c r="C58" s="35"/>
      <c r="D58" s="34"/>
      <c r="E58" s="34"/>
      <c r="F58" s="3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4"/>
      <c r="B59" s="35"/>
      <c r="C59" s="35"/>
      <c r="D59" s="34"/>
      <c r="E59" s="34"/>
      <c r="F59" s="3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4"/>
      <c r="B60" s="35"/>
      <c r="C60" s="35"/>
      <c r="D60" s="34"/>
      <c r="E60" s="34"/>
      <c r="F60" s="3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63"/>
      <c r="B61" s="270"/>
      <c r="C61" s="270"/>
      <c r="D61" s="192"/>
      <c r="E61" s="192"/>
      <c r="F61" s="192"/>
    </row>
    <row r="62" ht="15.75" customHeight="1">
      <c r="A62" s="263"/>
      <c r="B62" s="270"/>
      <c r="C62" s="270"/>
      <c r="D62" s="192"/>
      <c r="E62" s="192"/>
      <c r="F62" s="192"/>
    </row>
    <row r="63" ht="15.75" customHeight="1">
      <c r="A63" s="263"/>
      <c r="B63" s="270"/>
      <c r="C63" s="270"/>
      <c r="D63" s="192"/>
      <c r="E63" s="192"/>
      <c r="F63" s="192"/>
    </row>
    <row r="64" ht="15.75" customHeight="1">
      <c r="A64" s="263"/>
      <c r="B64" s="270"/>
      <c r="C64" s="270"/>
      <c r="D64" s="192"/>
      <c r="E64" s="192"/>
      <c r="F64" s="192"/>
    </row>
    <row r="65" ht="15.75" customHeight="1">
      <c r="A65" s="263"/>
      <c r="B65" s="270"/>
      <c r="C65" s="270"/>
      <c r="D65" s="192"/>
      <c r="E65" s="192"/>
      <c r="F65" s="192"/>
    </row>
    <row r="66" ht="15.75" customHeight="1">
      <c r="A66" s="263"/>
      <c r="B66" s="270"/>
      <c r="C66" s="270"/>
      <c r="D66" s="192"/>
      <c r="E66" s="192"/>
      <c r="F66" s="192"/>
    </row>
    <row r="67" ht="15.75" customHeight="1">
      <c r="A67" s="263"/>
      <c r="B67" s="270"/>
      <c r="C67" s="270"/>
      <c r="D67" s="192"/>
      <c r="E67" s="192"/>
      <c r="F67" s="192"/>
    </row>
    <row r="68" ht="15.75" customHeight="1">
      <c r="A68" s="263"/>
      <c r="B68" s="270"/>
      <c r="C68" s="270"/>
      <c r="D68" s="192"/>
      <c r="E68" s="192"/>
      <c r="F68" s="192"/>
    </row>
    <row r="69" ht="15.75" customHeight="1">
      <c r="A69" s="263"/>
      <c r="B69" s="270"/>
      <c r="C69" s="270"/>
      <c r="D69" s="192"/>
      <c r="E69" s="192"/>
      <c r="F69" s="192"/>
    </row>
    <row r="70" ht="15.75" customHeight="1">
      <c r="A70" s="263"/>
      <c r="B70" s="270"/>
      <c r="C70" s="270"/>
      <c r="D70" s="192"/>
      <c r="E70" s="192"/>
      <c r="F70" s="192"/>
    </row>
    <row r="71" ht="15.75" customHeight="1">
      <c r="A71" s="263"/>
      <c r="B71" s="270"/>
      <c r="C71" s="270"/>
      <c r="D71" s="192"/>
      <c r="E71" s="192"/>
      <c r="F71" s="192"/>
    </row>
    <row r="72" ht="15.75" customHeight="1">
      <c r="A72" s="263"/>
      <c r="B72" s="270"/>
      <c r="C72" s="270"/>
      <c r="D72" s="192"/>
      <c r="E72" s="192"/>
      <c r="F72" s="192"/>
    </row>
    <row r="73" ht="15.75" customHeight="1">
      <c r="A73" s="263"/>
      <c r="B73" s="270"/>
      <c r="C73" s="270"/>
      <c r="D73" s="192"/>
      <c r="E73" s="192"/>
      <c r="F73" s="192"/>
    </row>
    <row r="74" ht="15.75" customHeight="1">
      <c r="A74" s="263"/>
      <c r="B74" s="270"/>
      <c r="C74" s="270"/>
      <c r="D74" s="192"/>
      <c r="E74" s="192"/>
      <c r="F74" s="192"/>
    </row>
    <row r="75" ht="15.75" customHeight="1">
      <c r="A75" s="263"/>
      <c r="B75" s="270"/>
      <c r="C75" s="270"/>
      <c r="D75" s="192"/>
      <c r="E75" s="192"/>
      <c r="F75" s="192"/>
    </row>
    <row r="76" ht="15.75" customHeight="1">
      <c r="A76" s="263"/>
      <c r="B76" s="270"/>
      <c r="C76" s="270"/>
      <c r="D76" s="192"/>
      <c r="E76" s="192"/>
      <c r="F76" s="192"/>
    </row>
    <row r="77" ht="15.75" customHeight="1">
      <c r="A77" s="263"/>
      <c r="B77" s="270"/>
      <c r="C77" s="270"/>
      <c r="D77" s="192"/>
      <c r="E77" s="192"/>
      <c r="F77" s="192"/>
    </row>
    <row r="78" ht="15.75" customHeight="1">
      <c r="A78" s="263"/>
      <c r="B78" s="270"/>
      <c r="C78" s="270"/>
      <c r="D78" s="192"/>
      <c r="E78" s="192"/>
      <c r="F78" s="192"/>
    </row>
    <row r="79" ht="15.75" customHeight="1">
      <c r="A79" s="263"/>
      <c r="B79" s="270"/>
      <c r="C79" s="270"/>
      <c r="D79" s="192"/>
      <c r="E79" s="192"/>
      <c r="F79" s="192"/>
    </row>
    <row r="80" ht="15.75" customHeight="1">
      <c r="A80" s="263"/>
      <c r="B80" s="270"/>
      <c r="C80" s="270"/>
      <c r="D80" s="192"/>
      <c r="E80" s="192"/>
      <c r="F80" s="192"/>
    </row>
    <row r="81" ht="15.75" customHeight="1">
      <c r="A81" s="263"/>
      <c r="B81" s="270"/>
      <c r="C81" s="270"/>
      <c r="D81" s="192"/>
      <c r="E81" s="192"/>
      <c r="F81" s="192"/>
    </row>
    <row r="82" ht="15.75" customHeight="1">
      <c r="A82" s="263"/>
      <c r="B82" s="270"/>
      <c r="C82" s="270"/>
      <c r="D82" s="192"/>
      <c r="E82" s="192"/>
      <c r="F82" s="192"/>
    </row>
    <row r="83" ht="15.75" customHeight="1">
      <c r="A83" s="263"/>
      <c r="B83" s="270"/>
      <c r="C83" s="270"/>
      <c r="D83" s="192"/>
      <c r="E83" s="192"/>
      <c r="F83" s="192"/>
    </row>
    <row r="84" ht="15.75" customHeight="1">
      <c r="A84" s="263"/>
      <c r="B84" s="270"/>
      <c r="C84" s="270"/>
      <c r="D84" s="192"/>
      <c r="E84" s="192"/>
      <c r="F84" s="192"/>
    </row>
    <row r="85" ht="15.75" customHeight="1">
      <c r="A85" s="263"/>
      <c r="B85" s="270"/>
      <c r="C85" s="270"/>
      <c r="D85" s="192"/>
      <c r="E85" s="192"/>
      <c r="F85" s="192"/>
    </row>
    <row r="86" ht="15.75" customHeight="1">
      <c r="A86" s="263"/>
      <c r="B86" s="270"/>
      <c r="C86" s="270"/>
      <c r="D86" s="192"/>
      <c r="E86" s="192"/>
      <c r="F86" s="192"/>
    </row>
    <row r="87" ht="15.75" customHeight="1">
      <c r="A87" s="263"/>
      <c r="B87" s="270"/>
      <c r="C87" s="270"/>
      <c r="D87" s="192"/>
      <c r="E87" s="192"/>
      <c r="F87" s="192"/>
    </row>
    <row r="88" ht="15.75" customHeight="1">
      <c r="A88" s="263"/>
      <c r="B88" s="270"/>
      <c r="C88" s="270"/>
      <c r="D88" s="192"/>
      <c r="E88" s="192"/>
      <c r="F88" s="192"/>
    </row>
    <row r="89" ht="15.75" customHeight="1">
      <c r="A89" s="263"/>
      <c r="B89" s="270"/>
      <c r="C89" s="270"/>
      <c r="D89" s="192"/>
      <c r="E89" s="192"/>
      <c r="F89" s="192"/>
    </row>
    <row r="90" ht="15.75" customHeight="1">
      <c r="A90" s="263"/>
      <c r="B90" s="270"/>
      <c r="C90" s="270"/>
      <c r="D90" s="192"/>
      <c r="E90" s="192"/>
      <c r="F90" s="192"/>
    </row>
    <row r="91" ht="15.75" customHeight="1">
      <c r="A91" s="263"/>
      <c r="B91" s="270"/>
      <c r="C91" s="270"/>
      <c r="D91" s="192"/>
      <c r="E91" s="192"/>
      <c r="F91" s="192"/>
    </row>
    <row r="92" ht="15.75" customHeight="1">
      <c r="A92" s="263"/>
      <c r="B92" s="270"/>
      <c r="C92" s="270"/>
      <c r="D92" s="192"/>
      <c r="E92" s="192"/>
      <c r="F92" s="192"/>
    </row>
    <row r="93" ht="15.75" customHeight="1">
      <c r="A93" s="263"/>
      <c r="B93" s="270"/>
      <c r="C93" s="270"/>
      <c r="D93" s="192"/>
      <c r="E93" s="192"/>
      <c r="F93" s="192"/>
    </row>
    <row r="94" ht="15.75" customHeight="1">
      <c r="A94" s="263"/>
      <c r="B94" s="270"/>
      <c r="C94" s="270"/>
      <c r="D94" s="192"/>
      <c r="E94" s="192"/>
      <c r="F94" s="192"/>
    </row>
    <row r="95" ht="15.75" customHeight="1">
      <c r="A95" s="263"/>
      <c r="B95" s="270"/>
      <c r="C95" s="270"/>
      <c r="D95" s="192"/>
      <c r="E95" s="192"/>
      <c r="F95" s="192"/>
    </row>
    <row r="96" ht="15.75" customHeight="1">
      <c r="A96" s="263"/>
      <c r="B96" s="270"/>
      <c r="C96" s="270"/>
      <c r="D96" s="192"/>
      <c r="E96" s="192"/>
      <c r="F96" s="192"/>
    </row>
    <row r="97" ht="15.75" customHeight="1">
      <c r="A97" s="263"/>
      <c r="B97" s="270"/>
      <c r="C97" s="270"/>
      <c r="D97" s="192"/>
      <c r="E97" s="192"/>
      <c r="F97" s="192"/>
    </row>
    <row r="98" ht="15.75" customHeight="1">
      <c r="A98" s="263"/>
      <c r="B98" s="270"/>
      <c r="C98" s="270"/>
      <c r="D98" s="192"/>
      <c r="E98" s="192"/>
      <c r="F98" s="192"/>
    </row>
    <row r="99" ht="15.75" customHeight="1">
      <c r="A99" s="263"/>
      <c r="B99" s="270"/>
      <c r="C99" s="270"/>
      <c r="D99" s="192"/>
      <c r="E99" s="192"/>
      <c r="F99" s="192"/>
    </row>
    <row r="100" ht="15.75" customHeight="1">
      <c r="A100" s="263"/>
      <c r="B100" s="270"/>
      <c r="C100" s="270"/>
      <c r="D100" s="192"/>
      <c r="E100" s="192"/>
      <c r="F100" s="192"/>
    </row>
    <row r="101" ht="15.75" customHeight="1">
      <c r="A101" s="263"/>
      <c r="B101" s="270"/>
      <c r="C101" s="270"/>
      <c r="D101" s="192"/>
      <c r="E101" s="192"/>
      <c r="F101" s="192"/>
    </row>
    <row r="102" ht="15.75" customHeight="1">
      <c r="A102" s="263"/>
      <c r="B102" s="270"/>
      <c r="C102" s="270"/>
      <c r="D102" s="192"/>
      <c r="E102" s="192"/>
      <c r="F102" s="192"/>
    </row>
    <row r="103" ht="15.75" customHeight="1">
      <c r="A103" s="263"/>
      <c r="B103" s="270"/>
      <c r="C103" s="270"/>
      <c r="D103" s="192"/>
      <c r="E103" s="192"/>
      <c r="F103" s="192"/>
    </row>
    <row r="104" ht="15.75" customHeight="1">
      <c r="A104" s="263"/>
      <c r="B104" s="270"/>
      <c r="C104" s="270"/>
      <c r="D104" s="192"/>
      <c r="E104" s="192"/>
      <c r="F104" s="192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F2"/>
  </mergeCells>
  <dataValidations>
    <dataValidation type="list" allowBlank="1" sqref="E5:E104">
      <formula1>"Cá nhân,Học tập,Thể thao,Xã hội,Làm thêm"</formula1>
    </dataValidation>
  </dataValidations>
  <hyperlinks>
    <hyperlink display="⌂ Về Dashboard" location="Dashboard!A1" ref="F1"/>
    <hyperlink display="⌂ Về Dashboard" location="Dashboard!A1" ref="H1"/>
  </hyperlink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31.57"/>
    <col customWidth="1" min="3" max="3" width="100.14"/>
    <col customWidth="1" min="4" max="5" width="20.14"/>
    <col customWidth="1" min="6" max="26" width="8.71"/>
  </cols>
  <sheetData>
    <row r="1" ht="33.75" customHeight="1">
      <c r="A1" s="7"/>
      <c r="B1" s="271" t="s">
        <v>406</v>
      </c>
      <c r="C1" s="214"/>
      <c r="D1" s="272" t="s">
        <v>2</v>
      </c>
      <c r="E1" s="8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/>
      <c r="B3" s="273" t="s">
        <v>407</v>
      </c>
      <c r="C3" s="21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/>
      <c r="B4" s="274" t="s">
        <v>408</v>
      </c>
      <c r="C4" s="275" t="s">
        <v>409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/>
      <c r="B5" s="274" t="s">
        <v>410</v>
      </c>
      <c r="C5" s="276" t="s">
        <v>411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/>
      <c r="B6" s="274" t="s">
        <v>412</v>
      </c>
      <c r="C6" s="277" t="s">
        <v>413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/>
      <c r="B7" s="274" t="s">
        <v>414</v>
      </c>
      <c r="C7" s="276" t="s">
        <v>415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/>
      <c r="B8" s="273" t="s">
        <v>416</v>
      </c>
      <c r="C8" s="21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/>
      <c r="B9" s="278" t="s">
        <v>417</v>
      </c>
      <c r="C9" s="275" t="s">
        <v>418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/>
      <c r="B10" s="278" t="s">
        <v>419</v>
      </c>
      <c r="C10" s="275" t="s">
        <v>420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/>
      <c r="B11" s="278" t="s">
        <v>421</v>
      </c>
      <c r="C11" s="275" t="s">
        <v>422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/>
      <c r="B12" s="273" t="s">
        <v>423</v>
      </c>
      <c r="C12" s="21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/>
      <c r="B13" s="279" t="s">
        <v>424</v>
      </c>
      <c r="C13" s="280" t="s">
        <v>425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/>
      <c r="B14" s="279" t="s">
        <v>426</v>
      </c>
      <c r="C14" s="280" t="s">
        <v>427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/>
      <c r="B15" s="279" t="s">
        <v>428</v>
      </c>
      <c r="C15" s="280" t="s">
        <v>429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/>
      <c r="B16" s="279" t="s">
        <v>430</v>
      </c>
      <c r="C16" s="280" t="s">
        <v>431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/>
      <c r="B17" s="279" t="s">
        <v>384</v>
      </c>
      <c r="C17" s="280" t="s">
        <v>432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/>
      <c r="B18" s="279" t="s">
        <v>433</v>
      </c>
      <c r="C18" s="280" t="s">
        <v>434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/>
      <c r="B19" s="279" t="s">
        <v>435</v>
      </c>
      <c r="C19" s="280" t="s">
        <v>436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/>
      <c r="B20" s="279" t="s">
        <v>437</v>
      </c>
      <c r="C20" s="280" t="s">
        <v>438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/>
      <c r="B21" s="281" t="str">
        <f>HYPERLINK("#gid=992210349","Nhật ký nhiệm vụ")</f>
        <v>Nhật ký nhiệm vụ</v>
      </c>
      <c r="C21" s="282" t="s">
        <v>439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/>
      <c r="B22" s="281" t="str">
        <f>HYPERLINK("#gid=192210349","Kế hoạch ngày &amp; IELTS")</f>
        <v>Kế hoạch ngày &amp; IELTS</v>
      </c>
      <c r="C22" s="282" t="s">
        <v>440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5.75" customHeight="1">
      <c r="A23" s="7"/>
      <c r="B23" s="279" t="s">
        <v>441</v>
      </c>
      <c r="C23" s="280" t="s">
        <v>442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5.75" customHeight="1">
      <c r="A24" s="7"/>
      <c r="B24" s="279" t="s">
        <v>443</v>
      </c>
      <c r="C24" s="280" t="s">
        <v>444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7"/>
      <c r="B25" s="279" t="s">
        <v>445</v>
      </c>
      <c r="C25" s="280" t="s">
        <v>446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5.75" customHeight="1">
      <c r="A26" s="7"/>
      <c r="B26" s="279" t="s">
        <v>447</v>
      </c>
      <c r="C26" s="280" t="s">
        <v>448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5.75" customHeight="1">
      <c r="A27" s="7"/>
      <c r="B27" s="279" t="s">
        <v>449</v>
      </c>
      <c r="C27" s="280" t="s">
        <v>450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15.75" customHeight="1">
      <c r="A29" s="7"/>
      <c r="B29" s="283" t="s">
        <v>451</v>
      </c>
      <c r="C29" s="21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27.75" customHeight="1">
      <c r="A30" s="7"/>
      <c r="B30" s="284" t="s">
        <v>452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27.75" customHeight="1">
      <c r="A31" s="7"/>
      <c r="B31" s="284" t="s">
        <v>453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27.75" customHeight="1">
      <c r="A32" s="7"/>
      <c r="B32" s="284" t="s">
        <v>454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27.75" customHeight="1">
      <c r="A33" s="7"/>
      <c r="B33" s="284" t="s">
        <v>455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B31:C31"/>
    <mergeCell ref="B32:C32"/>
    <mergeCell ref="B33:C33"/>
    <mergeCell ref="B1:C1"/>
    <mergeCell ref="D1:E1"/>
    <mergeCell ref="B3:C3"/>
    <mergeCell ref="B8:C8"/>
    <mergeCell ref="B12:C12"/>
    <mergeCell ref="B29:C29"/>
    <mergeCell ref="B30:C30"/>
  </mergeCells>
  <hyperlinks>
    <hyperlink display="⌂ Về Dashboard" location="Dashboard!A1" ref="D1"/>
    <hyperlink display="Dashboard" location="Dashboard!A1" ref="B13"/>
    <hyperlink display="Thông tin lớp học" location="'Thông tin lớp học'!A1" ref="B14"/>
    <hyperlink display="Lịch học" location="'Lịch học'!A1" ref="B15"/>
    <hyperlink display="Lịch tuần" location="'Lịch tuần'!A1" ref="B16"/>
    <hyperlink display="Hoạt động" location="'Hoạt động'!A1" ref="B17"/>
    <hyperlink display="Bảng theo dõi bài tập" location="'Bảng theo dõi bài tập'!A1" ref="B18"/>
    <hyperlink display="Lịch bài tập" location="'Lịch bài tập'!A1" ref="B19"/>
    <hyperlink display="Danh sách việc cần làm" location="'Danh sách việc cần làm'!A1" ref="B20"/>
    <hyperlink display="Bảng theo dõi chuyên cần" location="'Bảng theo dõi chuyên cần'!A1" ref="B23"/>
    <hyperlink display="Danh sách tài liệu đọc" location="'Danh sách tài liệu đọc'!A1" ref="B24"/>
    <hyperlink display="Habit Tracker" location="'Habit Tracker'!A1" ref="B25"/>
    <hyperlink display="Quản lý giáo trình" location="'Quản lý giáo trình'!A1" ref="B26"/>
    <hyperlink display="Dữ liệu" location="'Dữ liệu'!A1" ref="B27"/>
  </hyperlink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6" width="8.71"/>
    <col customWidth="1" min="7" max="8" width="20.0"/>
    <col customWidth="1" min="9" max="9" width="8.71"/>
    <col customWidth="1" min="10" max="11" width="20.0"/>
    <col customWidth="1" min="12" max="12" width="8.71"/>
    <col customWidth="1" min="13" max="14" width="20.0"/>
    <col customWidth="1" min="15" max="15" width="8.71"/>
    <col customWidth="1" min="16" max="17" width="20.0"/>
    <col customWidth="1" min="18" max="18" width="8.71"/>
    <col customWidth="1" min="19" max="20" width="20.0"/>
    <col customWidth="1" min="21" max="23" width="8.71"/>
    <col customWidth="1" min="24" max="24" width="38.71"/>
    <col customWidth="1" min="25" max="26" width="15.86"/>
    <col customWidth="1" min="27" max="27" width="18.71"/>
    <col customWidth="1" min="28" max="28" width="15.86"/>
    <col customWidth="1" min="29" max="30" width="8.71"/>
  </cols>
  <sheetData>
    <row r="1">
      <c r="A1" s="285" t="s">
        <v>456</v>
      </c>
      <c r="G1" s="224" t="str">
        <f>HYPERLINK("#gid=13634334", "⌂ Về Dashboard")</f>
        <v>⌂ Về Dashboard</v>
      </c>
      <c r="L1" s="286"/>
      <c r="M1" s="286"/>
      <c r="N1" s="286"/>
      <c r="O1" s="286"/>
      <c r="P1" s="286"/>
      <c r="Q1" s="286"/>
      <c r="R1" s="286"/>
      <c r="S1" s="286"/>
      <c r="T1" s="286"/>
      <c r="U1" s="7"/>
      <c r="V1" s="287" t="s">
        <v>457</v>
      </c>
      <c r="W1" s="7"/>
      <c r="X1" s="7"/>
      <c r="Y1" s="7"/>
      <c r="Z1" s="7"/>
      <c r="AA1" s="7"/>
      <c r="AB1" s="7"/>
      <c r="AC1" s="7"/>
      <c r="AD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288">
        <v>0.0</v>
      </c>
      <c r="W2" s="7"/>
      <c r="X2" s="7"/>
      <c r="Y2" s="7"/>
      <c r="Z2" s="7"/>
      <c r="AA2" s="7"/>
      <c r="AB2" s="7"/>
      <c r="AC2" s="7"/>
      <c r="AD2" s="7"/>
    </row>
    <row r="3">
      <c r="A3" s="289" t="s">
        <v>458</v>
      </c>
      <c r="B3" s="290"/>
      <c r="C3" s="290"/>
      <c r="D3" s="289" t="s">
        <v>31</v>
      </c>
      <c r="E3" s="290"/>
      <c r="F3" s="290"/>
      <c r="G3" s="289" t="s">
        <v>229</v>
      </c>
      <c r="H3" s="290"/>
      <c r="I3" s="290"/>
      <c r="J3" s="291" t="s">
        <v>459</v>
      </c>
      <c r="K3" s="292" t="s">
        <v>26</v>
      </c>
      <c r="O3" s="290"/>
      <c r="P3" s="289" t="s">
        <v>460</v>
      </c>
      <c r="Q3" s="290"/>
      <c r="R3" s="290"/>
      <c r="S3" s="289" t="s">
        <v>461</v>
      </c>
      <c r="T3" s="290"/>
      <c r="U3" s="7"/>
      <c r="V3" s="288">
        <v>0.003472222222222222</v>
      </c>
      <c r="W3" s="7"/>
      <c r="X3" s="291" t="s">
        <v>24</v>
      </c>
      <c r="Y3" s="291" t="s">
        <v>22</v>
      </c>
      <c r="Z3" s="291" t="s">
        <v>86</v>
      </c>
      <c r="AA3" s="291" t="s">
        <v>26</v>
      </c>
      <c r="AB3" s="291" t="s">
        <v>25</v>
      </c>
      <c r="AC3" s="7"/>
      <c r="AD3" s="7"/>
    </row>
    <row r="4">
      <c r="A4" s="259" t="str">
        <f>IF('Thông tin lớp học'!A10="","",'Thông tin lớp học'!A10)</f>
        <v>Tâm lý học</v>
      </c>
      <c r="B4" s="259">
        <f>IF(A4="",0,COUNTIF('Bảng theo dõi bài tập'!$A$23:$A$72,A4))</f>
        <v>2</v>
      </c>
      <c r="C4" s="7"/>
      <c r="D4" s="259" t="s">
        <v>252</v>
      </c>
      <c r="E4" s="259">
        <f>COUNTIF('Bảng theo dõi bài tập'!$D$23:$D$72,D4)</f>
        <v>3</v>
      </c>
      <c r="F4" s="7"/>
      <c r="G4" s="259" t="s">
        <v>234</v>
      </c>
      <c r="H4" s="259">
        <f>COUNTIF('Bảng theo dõi bài tập'!$J$23:$J$72,G4)</f>
        <v>2</v>
      </c>
      <c r="I4" s="7"/>
      <c r="J4" s="293" t="s">
        <v>78</v>
      </c>
      <c r="K4" s="294">
        <f>SUMIFS('Nhật ký nhiệm vụ'!$J$7:$J1000, 'Nhật ký nhiệm vụ'!$F$7:$F1000, "Làm thêm")</f>
        <v>3570</v>
      </c>
      <c r="O4" s="7"/>
      <c r="P4" s="259" t="s">
        <v>19</v>
      </c>
      <c r="Q4" s="296">
        <f>'Bảng theo dõi bài tập'!C4</f>
        <v>7</v>
      </c>
      <c r="R4" s="7"/>
      <c r="S4" s="259" t="s">
        <v>218</v>
      </c>
      <c r="T4" s="259">
        <f>COUNTIF('Bảng theo dõi bài tập'!$C$23:$C$72,S4)</f>
        <v>6</v>
      </c>
      <c r="U4" s="7"/>
      <c r="V4" s="288">
        <v>0.006944444444444444</v>
      </c>
      <c r="W4" s="7"/>
      <c r="X4" s="297" t="s">
        <v>79</v>
      </c>
      <c r="Y4" s="298" t="s">
        <v>78</v>
      </c>
      <c r="Z4" s="299"/>
      <c r="AA4" s="300">
        <v>510.0</v>
      </c>
      <c r="AB4" s="298" t="s">
        <v>49</v>
      </c>
      <c r="AC4" s="7"/>
      <c r="AD4" s="7"/>
    </row>
    <row r="5">
      <c r="A5" s="259" t="str">
        <f>IF('Thông tin lớp học'!A11="","",'Thông tin lớp học'!A11)</f>
        <v>Toán cao cấp</v>
      </c>
      <c r="B5" s="259">
        <f>IF(A5="",0,COUNTIF('Bảng theo dõi bài tập'!$A$23:$A$72,A5))</f>
        <v>3</v>
      </c>
      <c r="C5" s="7"/>
      <c r="D5" s="259" t="s">
        <v>255</v>
      </c>
      <c r="E5" s="259">
        <f>COUNTIF('Bảng theo dõi bài tập'!$D$23:$D$72,D5)</f>
        <v>3</v>
      </c>
      <c r="F5" s="7"/>
      <c r="G5" s="259" t="s">
        <v>243</v>
      </c>
      <c r="H5" s="259">
        <f>COUNTIF('Bảng theo dõi bài tập'!$J$23:$J$72,G5)</f>
        <v>1</v>
      </c>
      <c r="I5" s="7"/>
      <c r="J5" s="293" t="s">
        <v>80</v>
      </c>
      <c r="K5" s="294">
        <f>SUMIFS('Nhật ký nhiệm vụ'!$J$7:$J1000, 'Nhật ký nhiệm vụ'!$F$7:$F1000, "Học tập")</f>
        <v>1800</v>
      </c>
      <c r="O5" s="7"/>
      <c r="P5" s="259" t="s">
        <v>349</v>
      </c>
      <c r="Q5" s="296">
        <f>'Bảng theo dõi bài tập'!D4</f>
        <v>6</v>
      </c>
      <c r="R5" s="7"/>
      <c r="S5" s="259" t="s">
        <v>232</v>
      </c>
      <c r="T5" s="259">
        <f>COUNTIF('Bảng theo dõi bài tập'!$C$23:$C$72,S5)</f>
        <v>4</v>
      </c>
      <c r="U5" s="7"/>
      <c r="V5" s="288">
        <v>0.010416666666666666</v>
      </c>
      <c r="W5" s="7"/>
      <c r="X5" s="297" t="s">
        <v>81</v>
      </c>
      <c r="Y5" s="298" t="s">
        <v>80</v>
      </c>
      <c r="Z5" s="299"/>
      <c r="AA5" s="300">
        <v>120.0</v>
      </c>
      <c r="AB5" s="298" t="s">
        <v>49</v>
      </c>
      <c r="AC5" s="7"/>
      <c r="AD5" s="7"/>
    </row>
    <row r="6">
      <c r="A6" s="259" t="str">
        <f>IF('Thông tin lớp học'!A12="","",'Thông tin lớp học'!A12)</f>
        <v>Tiếng Anh giao tiếp</v>
      </c>
      <c r="B6" s="259">
        <f>IF(A6="",0,COUNTIF('Bảng theo dõi bài tập'!$A$23:$A$72,A6))</f>
        <v>2</v>
      </c>
      <c r="C6" s="7"/>
      <c r="D6" s="259" t="s">
        <v>19</v>
      </c>
      <c r="E6" s="259">
        <f>COUNTIF('Bảng theo dõi bài tập'!$D$23:$D$72,D6)</f>
        <v>7</v>
      </c>
      <c r="F6" s="7"/>
      <c r="G6" s="259" t="s">
        <v>239</v>
      </c>
      <c r="H6" s="259">
        <f>COUNTIF('Bảng theo dõi bài tập'!$J$23:$J$72,G6)</f>
        <v>1</v>
      </c>
      <c r="I6" s="7"/>
      <c r="J6" s="293" t="s">
        <v>159</v>
      </c>
      <c r="K6" s="294">
        <f>SUMIFS('Nhật ký nhiệm vụ'!$J$7:$J1000, 'Nhật ký nhiệm vụ'!$F$7:$F1000, "Ôn tập")</f>
        <v>465</v>
      </c>
      <c r="O6" s="7"/>
      <c r="P6" s="7"/>
      <c r="Q6" s="7"/>
      <c r="R6" s="7"/>
      <c r="S6" s="259" t="s">
        <v>241</v>
      </c>
      <c r="T6" s="259">
        <f>COUNTIF('Bảng theo dõi bài tập'!$C$23:$C$72,S6)</f>
        <v>3</v>
      </c>
      <c r="U6" s="7"/>
      <c r="V6" s="288">
        <v>0.013888888888888888</v>
      </c>
      <c r="W6" s="7"/>
      <c r="X6" s="297" t="s">
        <v>147</v>
      </c>
      <c r="Y6" s="298" t="s">
        <v>80</v>
      </c>
      <c r="Z6" s="299"/>
      <c r="AA6" s="300">
        <v>180.0</v>
      </c>
      <c r="AB6" s="298" t="s">
        <v>49</v>
      </c>
      <c r="AC6" s="7"/>
      <c r="AD6" s="7"/>
    </row>
    <row r="7">
      <c r="A7" s="259" t="str">
        <f>IF('Thông tin lớp học'!A13="","",'Thông tin lớp học'!A13)</f>
        <v>Lập trình C++</v>
      </c>
      <c r="B7" s="259">
        <f>IF(A7="",0,COUNTIF('Bảng theo dõi bài tập'!$A$23:$A$72,A7))</f>
        <v>2</v>
      </c>
      <c r="C7" s="7"/>
      <c r="D7" s="7"/>
      <c r="E7" s="7"/>
      <c r="F7" s="7"/>
      <c r="G7" s="259" t="s">
        <v>246</v>
      </c>
      <c r="H7" s="259">
        <f>COUNTIF('Bảng theo dõi bài tập'!$J$23:$J$72,G7)</f>
        <v>1</v>
      </c>
      <c r="I7" s="7"/>
      <c r="J7" s="293" t="s">
        <v>91</v>
      </c>
      <c r="K7" s="294">
        <f>SUMIFS('Nhật ký nhiệm vụ'!$J$7:$J1000, 'Nhật ký nhiệm vụ'!$F$7:$F1000, "Cá nhân")</f>
        <v>120</v>
      </c>
      <c r="O7" s="7"/>
      <c r="P7" s="7"/>
      <c r="Q7" s="7"/>
      <c r="R7" s="7"/>
      <c r="S7" s="7"/>
      <c r="T7" s="7"/>
      <c r="U7" s="7"/>
      <c r="V7" s="288">
        <v>0.017361111111111112</v>
      </c>
      <c r="W7" s="7"/>
      <c r="X7" s="297" t="s">
        <v>47</v>
      </c>
      <c r="Y7" s="298" t="s">
        <v>45</v>
      </c>
      <c r="Z7" s="298" t="s">
        <v>46</v>
      </c>
      <c r="AA7" s="300">
        <v>60.0</v>
      </c>
      <c r="AB7" s="298" t="s">
        <v>49</v>
      </c>
      <c r="AC7" s="7"/>
      <c r="AD7" s="7"/>
    </row>
    <row r="8">
      <c r="A8" s="259" t="str">
        <f>IF('Thông tin lớp học'!A14="","",'Thông tin lớp học'!A14)</f>
        <v>Triết học Mác-Lênin</v>
      </c>
      <c r="B8" s="259">
        <f>IF(A8="",0,COUNTIF('Bảng theo dõi bài tập'!$A$23:$A$72,A8))</f>
        <v>2</v>
      </c>
      <c r="C8" s="7"/>
      <c r="D8" s="7"/>
      <c r="E8" s="7"/>
      <c r="F8" s="7"/>
      <c r="G8" s="259" t="s">
        <v>462</v>
      </c>
      <c r="H8" s="259">
        <f>COUNTIF('Bảng theo dõi bài tập'!$J$23:$J$72,G8)</f>
        <v>0</v>
      </c>
      <c r="I8" s="7"/>
      <c r="J8" s="293" t="s">
        <v>463</v>
      </c>
      <c r="K8" s="294">
        <f>SUMIFS('Nhật ký nhiệm vụ'!$J$7:$J1000, 'Nhật ký nhiệm vụ'!$F$7:$F1000, "IELTS", 'Nhật ký nhiệm vụ'!$G$7:$G1000, "Vocabulary")</f>
        <v>420</v>
      </c>
      <c r="O8" s="7"/>
      <c r="P8" s="7"/>
      <c r="Q8" s="7"/>
      <c r="R8" s="7"/>
      <c r="S8" s="7"/>
      <c r="T8" s="7"/>
      <c r="U8" s="7"/>
      <c r="V8" s="288">
        <v>0.020833333333333332</v>
      </c>
      <c r="W8" s="7"/>
      <c r="X8" s="297" t="s">
        <v>464</v>
      </c>
      <c r="Y8" s="298" t="s">
        <v>45</v>
      </c>
      <c r="Z8" s="298" t="s">
        <v>102</v>
      </c>
      <c r="AA8" s="300">
        <v>60.0</v>
      </c>
      <c r="AB8" s="298" t="s">
        <v>49</v>
      </c>
      <c r="AC8" s="7"/>
      <c r="AD8" s="7"/>
    </row>
    <row r="9">
      <c r="A9" s="259" t="str">
        <f>IF('Thông tin lớp học'!A15="","",'Thông tin lớp học'!A15)</f>
        <v>Kỹ năng mềm</v>
      </c>
      <c r="B9" s="259">
        <f>IF(A9="",0,COUNTIF('Bảng theo dõi bài tập'!$A$23:$A$72,A9))</f>
        <v>2</v>
      </c>
      <c r="C9" s="7"/>
      <c r="D9" s="7"/>
      <c r="E9" s="7"/>
      <c r="F9" s="7"/>
      <c r="G9" s="259" t="s">
        <v>465</v>
      </c>
      <c r="H9" s="259">
        <f>COUNTIF('Bảng theo dõi bài tập'!$J$23:$J$72,G9)</f>
        <v>0</v>
      </c>
      <c r="I9" s="7"/>
      <c r="J9" s="293" t="s">
        <v>466</v>
      </c>
      <c r="K9" s="294">
        <f>SUMIFS('Nhật ký nhiệm vụ'!$J$7:$J1000, 'Nhật ký nhiệm vụ'!$F$7:$F1000, "IELTS", 'Nhật ký nhiệm vụ'!$G$7:$G1000, "Writing")</f>
        <v>0</v>
      </c>
      <c r="O9" s="7"/>
      <c r="P9" s="7"/>
      <c r="Q9" s="7"/>
      <c r="R9" s="7"/>
      <c r="S9" s="7"/>
      <c r="T9" s="7"/>
      <c r="U9" s="7"/>
      <c r="V9" s="288">
        <v>0.024305555555555556</v>
      </c>
      <c r="W9" s="7"/>
      <c r="X9" s="297" t="s">
        <v>467</v>
      </c>
      <c r="Y9" s="298" t="s">
        <v>45</v>
      </c>
      <c r="Z9" s="298" t="s">
        <v>106</v>
      </c>
      <c r="AA9" s="300">
        <v>60.0</v>
      </c>
      <c r="AB9" s="298" t="s">
        <v>49</v>
      </c>
      <c r="AC9" s="7"/>
      <c r="AD9" s="7"/>
    </row>
    <row r="10">
      <c r="A10" s="259"/>
      <c r="B10" s="259"/>
      <c r="C10" s="7"/>
      <c r="D10" s="7"/>
      <c r="E10" s="7"/>
      <c r="F10" s="7"/>
      <c r="G10" s="259" t="s">
        <v>468</v>
      </c>
      <c r="H10" s="259">
        <f>COUNTIF('Bảng theo dõi bài tập'!$J$23:$J$72,G10)</f>
        <v>0</v>
      </c>
      <c r="I10" s="7"/>
      <c r="J10" s="293" t="s">
        <v>469</v>
      </c>
      <c r="K10" s="294">
        <f>SUMIFS('Nhật ký nhiệm vụ'!$J$7:$J1000, 'Nhật ký nhiệm vụ'!$F$7:$F1000, "IELTS", 'Nhật ký nhiệm vụ'!$G$7:$G1000, "Listening")</f>
        <v>60</v>
      </c>
      <c r="O10" s="7"/>
      <c r="P10" s="7"/>
      <c r="Q10" s="7"/>
      <c r="R10" s="7"/>
      <c r="S10" s="7"/>
      <c r="T10" s="7"/>
      <c r="U10" s="7"/>
      <c r="V10" s="288">
        <v>0.027777777777777776</v>
      </c>
      <c r="W10" s="7"/>
      <c r="X10" s="297" t="s">
        <v>470</v>
      </c>
      <c r="Y10" s="298" t="s">
        <v>45</v>
      </c>
      <c r="Z10" s="298" t="s">
        <v>111</v>
      </c>
      <c r="AA10" s="300">
        <v>45.0</v>
      </c>
      <c r="AB10" s="298" t="s">
        <v>471</v>
      </c>
      <c r="AC10" s="7"/>
      <c r="AD10" s="7"/>
    </row>
    <row r="11">
      <c r="A11" s="259"/>
      <c r="B11" s="259"/>
      <c r="C11" s="7"/>
      <c r="D11" s="7"/>
      <c r="E11" s="7"/>
      <c r="F11" s="7"/>
      <c r="G11" s="259" t="s">
        <v>472</v>
      </c>
      <c r="H11" s="259">
        <f>COUNTIF('Bảng theo dõi bài tập'!$J$23:$J$72,G11)</f>
        <v>0</v>
      </c>
      <c r="I11" s="7"/>
      <c r="J11" s="293" t="s">
        <v>473</v>
      </c>
      <c r="K11" s="294">
        <f>SUMIFS('Nhật ký nhiệm vụ'!$J$7:$J1000, 'Nhật ký nhiệm vụ'!$F$7:$F1000, "IELTS", 'Nhật ký nhiệm vụ'!$G$7:$G1000, "Speaking")</f>
        <v>0</v>
      </c>
      <c r="O11" s="7"/>
      <c r="P11" s="7"/>
      <c r="Q11" s="7"/>
      <c r="R11" s="7"/>
      <c r="S11" s="7"/>
      <c r="T11" s="7"/>
      <c r="U11" s="7"/>
      <c r="V11" s="288">
        <v>0.03125</v>
      </c>
      <c r="W11" s="7"/>
      <c r="X11" s="297" t="s">
        <v>474</v>
      </c>
      <c r="Y11" s="298" t="s">
        <v>159</v>
      </c>
      <c r="Z11" s="299"/>
      <c r="AA11" s="300">
        <v>90.0</v>
      </c>
      <c r="AB11" s="298" t="s">
        <v>49</v>
      </c>
      <c r="AC11" s="7"/>
      <c r="AD11" s="7"/>
    </row>
    <row r="12">
      <c r="A12" s="259"/>
      <c r="B12" s="259"/>
      <c r="C12" s="7"/>
      <c r="D12" s="7"/>
      <c r="E12" s="7"/>
      <c r="F12" s="7"/>
      <c r="G12" s="259" t="s">
        <v>475</v>
      </c>
      <c r="H12" s="259">
        <f>COUNTIF('Bảng theo dõi bài tập'!$J$23:$J$72,G12)</f>
        <v>0</v>
      </c>
      <c r="I12" s="7"/>
      <c r="J12" s="301" t="s">
        <v>476</v>
      </c>
      <c r="K12" s="302">
        <f>SUMIFS('Nhật ký nhiệm vụ'!$J$7:$J1000, 'Nhật ký nhiệm vụ'!$F$7:$F1000, "IELTS", 'Nhật ký nhiệm vụ'!$G$7:$G1000, "Reading")</f>
        <v>0</v>
      </c>
      <c r="O12" s="7"/>
      <c r="P12" s="7"/>
      <c r="Q12" s="7"/>
      <c r="R12" s="7"/>
      <c r="S12" s="7"/>
      <c r="T12" s="7"/>
      <c r="U12" s="7"/>
      <c r="V12" s="288">
        <v>0.034722222222222224</v>
      </c>
      <c r="W12" s="7"/>
      <c r="AC12" s="7"/>
      <c r="AD12" s="7"/>
    </row>
    <row r="13">
      <c r="A13" s="259"/>
      <c r="B13" s="259"/>
      <c r="C13" s="7"/>
      <c r="D13" s="7"/>
      <c r="E13" s="7"/>
      <c r="F13" s="7"/>
      <c r="G13" s="7"/>
      <c r="H13" s="7"/>
      <c r="I13" s="7"/>
      <c r="O13" s="7"/>
      <c r="P13" s="7"/>
      <c r="Q13" s="7"/>
      <c r="R13" s="7"/>
      <c r="S13" s="7"/>
      <c r="T13" s="7"/>
      <c r="U13" s="7"/>
      <c r="V13" s="288">
        <v>0.03819444444444445</v>
      </c>
      <c r="W13" s="7"/>
      <c r="AC13" s="7"/>
      <c r="AD13" s="7"/>
    </row>
    <row r="14">
      <c r="A14" s="7"/>
      <c r="B14" s="7"/>
      <c r="C14" s="7"/>
      <c r="D14" s="7"/>
      <c r="E14" s="7"/>
      <c r="F14" s="7"/>
      <c r="G14" s="7"/>
      <c r="H14" s="7"/>
      <c r="I14" s="7"/>
      <c r="O14" s="7"/>
      <c r="P14" s="7"/>
      <c r="Q14" s="7"/>
      <c r="R14" s="7"/>
      <c r="S14" s="7"/>
      <c r="T14" s="7"/>
      <c r="U14" s="7"/>
      <c r="V14" s="288">
        <v>0.041666666666666664</v>
      </c>
      <c r="W14" s="7"/>
      <c r="AC14" s="7"/>
      <c r="AD14" s="7"/>
    </row>
    <row r="15">
      <c r="A15" s="7"/>
      <c r="B15" s="7"/>
      <c r="C15" s="7"/>
      <c r="D15" s="7"/>
      <c r="E15" s="7"/>
      <c r="F15" s="7"/>
      <c r="G15" s="7"/>
      <c r="H15" s="7"/>
      <c r="I15" s="7"/>
      <c r="O15" s="7"/>
      <c r="P15" s="7"/>
      <c r="Q15" s="7"/>
      <c r="R15" s="7"/>
      <c r="S15" s="7"/>
      <c r="T15" s="7"/>
      <c r="U15" s="7"/>
      <c r="V15" s="288">
        <v>0.04513888888888889</v>
      </c>
      <c r="W15" s="7"/>
      <c r="X15" s="297"/>
      <c r="Y15" s="298"/>
      <c r="Z15" s="299"/>
      <c r="AA15" s="300"/>
      <c r="AB15" s="298"/>
      <c r="AC15" s="7"/>
      <c r="AD15" s="7"/>
    </row>
    <row r="16">
      <c r="A16" s="7"/>
      <c r="B16" s="7"/>
      <c r="C16" s="7"/>
      <c r="D16" s="7"/>
      <c r="E16" s="7"/>
      <c r="F16" s="7"/>
      <c r="G16" s="7"/>
      <c r="H16" s="7"/>
      <c r="I16" s="7"/>
      <c r="O16" s="7"/>
      <c r="P16" s="7"/>
      <c r="Q16" s="7"/>
      <c r="R16" s="7"/>
      <c r="S16" s="7"/>
      <c r="T16" s="7"/>
      <c r="U16" s="7"/>
      <c r="V16" s="288">
        <v>0.04861111111111111</v>
      </c>
      <c r="W16" s="7"/>
      <c r="X16" s="7"/>
      <c r="Y16" s="7"/>
      <c r="Z16" s="7"/>
      <c r="AA16" s="7"/>
      <c r="AB16" s="7"/>
      <c r="AC16" s="7"/>
      <c r="AD16" s="7"/>
    </row>
    <row r="17">
      <c r="A17" s="7"/>
      <c r="B17" s="7"/>
      <c r="C17" s="7"/>
      <c r="D17" s="7"/>
      <c r="E17" s="7"/>
      <c r="F17" s="7"/>
      <c r="G17" s="7"/>
      <c r="H17" s="7"/>
      <c r="I17" s="7"/>
      <c r="O17" s="7"/>
      <c r="P17" s="7"/>
      <c r="Q17" s="7"/>
      <c r="R17" s="7"/>
      <c r="S17" s="7"/>
      <c r="T17" s="7"/>
      <c r="U17" s="7"/>
      <c r="V17" s="288">
        <v>0.052083333333333336</v>
      </c>
      <c r="W17" s="7"/>
      <c r="X17" s="7"/>
      <c r="Y17" s="7"/>
      <c r="Z17" s="7"/>
      <c r="AA17" s="7"/>
      <c r="AB17" s="7"/>
      <c r="AC17" s="7"/>
      <c r="AD17" s="7"/>
    </row>
    <row r="18">
      <c r="A18" s="7"/>
      <c r="B18" s="7"/>
      <c r="C18" s="7"/>
      <c r="D18" s="7"/>
      <c r="E18" s="7"/>
      <c r="F18" s="7"/>
      <c r="G18" s="7"/>
      <c r="H18" s="7"/>
      <c r="I18" s="7"/>
      <c r="O18" s="7"/>
      <c r="P18" s="7"/>
      <c r="Q18" s="7"/>
      <c r="R18" s="7"/>
      <c r="S18" s="7"/>
      <c r="T18" s="7"/>
      <c r="U18" s="7"/>
      <c r="V18" s="288">
        <v>0.05555555555555555</v>
      </c>
      <c r="W18" s="7"/>
      <c r="X18" s="7"/>
      <c r="Y18" s="7"/>
      <c r="Z18" s="7"/>
      <c r="AA18" s="7"/>
      <c r="AB18" s="7"/>
      <c r="AC18" s="7"/>
      <c r="AD18" s="7"/>
    </row>
    <row r="19">
      <c r="A19" s="7"/>
      <c r="B19" s="7"/>
      <c r="C19" s="7"/>
      <c r="D19" s="7"/>
      <c r="E19" s="7"/>
      <c r="F19" s="7"/>
      <c r="G19" s="7"/>
      <c r="H19" s="7"/>
      <c r="I19" s="7"/>
      <c r="O19" s="7"/>
      <c r="P19" s="7"/>
      <c r="Q19" s="7"/>
      <c r="R19" s="7"/>
      <c r="S19" s="7"/>
      <c r="T19" s="7"/>
      <c r="U19" s="7"/>
      <c r="V19" s="288">
        <v>0.059027777777777776</v>
      </c>
      <c r="W19" s="7"/>
      <c r="X19" s="7"/>
      <c r="Y19" s="7"/>
      <c r="Z19" s="7"/>
      <c r="AA19" s="7"/>
      <c r="AB19" s="7"/>
      <c r="AC19" s="7"/>
      <c r="AD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288">
        <v>0.0625</v>
      </c>
      <c r="W20" s="7"/>
      <c r="X20" s="7"/>
      <c r="Y20" s="7"/>
      <c r="Z20" s="7"/>
      <c r="AA20" s="7"/>
      <c r="AB20" s="7"/>
      <c r="AC20" s="7"/>
      <c r="AD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288">
        <v>0.06597222222222222</v>
      </c>
      <c r="W21" s="7"/>
      <c r="X21" s="7"/>
      <c r="Y21" s="7"/>
      <c r="Z21" s="7"/>
      <c r="AA21" s="7"/>
      <c r="AB21" s="7"/>
      <c r="AC21" s="7"/>
      <c r="AD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288">
        <v>0.06944444444444445</v>
      </c>
      <c r="W22" s="7"/>
      <c r="X22" s="7"/>
      <c r="Y22" s="7"/>
      <c r="Z22" s="7"/>
      <c r="AA22" s="7"/>
      <c r="AB22" s="7"/>
      <c r="AC22" s="7"/>
      <c r="AD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288">
        <v>0.07291666666666667</v>
      </c>
      <c r="W23" s="7"/>
      <c r="X23" s="7"/>
      <c r="Y23" s="7"/>
      <c r="Z23" s="7"/>
      <c r="AA23" s="7"/>
      <c r="AB23" s="7"/>
      <c r="AC23" s="7"/>
      <c r="AD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288">
        <v>0.0763888888888889</v>
      </c>
      <c r="W24" s="7"/>
      <c r="X24" s="7"/>
      <c r="Y24" s="7"/>
      <c r="Z24" s="7"/>
      <c r="AA24" s="7"/>
      <c r="AB24" s="7"/>
      <c r="AC24" s="7"/>
      <c r="AD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288">
        <v>0.0798611111111111</v>
      </c>
      <c r="W25" s="7"/>
      <c r="X25" s="7"/>
      <c r="Y25" s="7"/>
      <c r="Z25" s="7"/>
      <c r="AA25" s="7"/>
      <c r="AB25" s="7"/>
      <c r="AC25" s="7"/>
      <c r="AD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288">
        <v>0.08333333333333333</v>
      </c>
      <c r="W26" s="7"/>
      <c r="X26" s="7"/>
      <c r="Y26" s="7"/>
      <c r="Z26" s="7"/>
      <c r="AA26" s="7"/>
      <c r="AB26" s="7"/>
      <c r="AC26" s="7"/>
      <c r="AD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288">
        <v>0.08680555555555555</v>
      </c>
      <c r="W27" s="7"/>
      <c r="X27" s="7"/>
      <c r="Y27" s="7"/>
      <c r="Z27" s="7"/>
      <c r="AA27" s="7"/>
      <c r="AB27" s="7"/>
      <c r="AC27" s="7"/>
      <c r="AD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288">
        <v>0.09027777777777778</v>
      </c>
      <c r="W28" s="7"/>
      <c r="X28" s="7"/>
      <c r="Y28" s="7"/>
      <c r="Z28" s="7"/>
      <c r="AA28" s="7"/>
      <c r="AB28" s="7"/>
      <c r="AC28" s="7"/>
      <c r="AD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288">
        <v>0.09375</v>
      </c>
      <c r="W29" s="7"/>
      <c r="X29" s="7"/>
      <c r="Y29" s="7"/>
      <c r="Z29" s="7"/>
      <c r="AA29" s="7"/>
      <c r="AB29" s="7"/>
      <c r="AC29" s="7"/>
      <c r="AD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288">
        <v>0.09722222222222222</v>
      </c>
      <c r="W30" s="7"/>
      <c r="X30" s="7"/>
      <c r="Y30" s="7"/>
      <c r="Z30" s="7"/>
      <c r="AA30" s="7"/>
      <c r="AB30" s="7"/>
      <c r="AC30" s="7"/>
      <c r="AD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288">
        <v>0.10069444444444445</v>
      </c>
      <c r="W31" s="7"/>
      <c r="X31" s="7"/>
      <c r="Y31" s="7"/>
      <c r="Z31" s="7"/>
      <c r="AA31" s="7"/>
      <c r="AB31" s="7"/>
      <c r="AC31" s="7"/>
      <c r="AD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288">
        <v>0.10416666666666667</v>
      </c>
      <c r="W32" s="7"/>
      <c r="X32" s="7"/>
      <c r="Y32" s="7"/>
      <c r="Z32" s="7"/>
      <c r="AA32" s="7"/>
      <c r="AB32" s="7"/>
      <c r="AC32" s="7"/>
      <c r="AD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288">
        <v>0.1076388888888889</v>
      </c>
      <c r="W33" s="7"/>
      <c r="X33" s="7"/>
      <c r="Y33" s="7"/>
      <c r="Z33" s="7"/>
      <c r="AA33" s="7"/>
      <c r="AB33" s="7"/>
      <c r="AC33" s="7"/>
      <c r="AD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288">
        <v>0.1111111111111111</v>
      </c>
      <c r="W34" s="7"/>
      <c r="X34" s="7"/>
      <c r="Y34" s="7"/>
      <c r="Z34" s="7"/>
      <c r="AA34" s="7"/>
      <c r="AB34" s="7"/>
      <c r="AC34" s="7"/>
      <c r="AD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288">
        <v>0.11458333333333333</v>
      </c>
      <c r="W35" s="7"/>
      <c r="X35" s="7"/>
      <c r="Y35" s="7"/>
      <c r="Z35" s="7"/>
      <c r="AA35" s="7"/>
      <c r="AB35" s="7"/>
      <c r="AC35" s="7"/>
      <c r="AD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288">
        <v>0.11805555555555555</v>
      </c>
      <c r="W36" s="7"/>
      <c r="X36" s="7"/>
      <c r="Y36" s="7"/>
      <c r="Z36" s="7"/>
      <c r="AA36" s="7"/>
      <c r="AB36" s="7"/>
      <c r="AC36" s="7"/>
      <c r="AD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288">
        <v>0.12152777777777778</v>
      </c>
      <c r="W37" s="7"/>
      <c r="X37" s="7"/>
      <c r="Y37" s="7"/>
      <c r="Z37" s="7"/>
      <c r="AA37" s="7"/>
      <c r="AB37" s="7"/>
      <c r="AC37" s="7"/>
      <c r="AD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288">
        <v>0.125</v>
      </c>
      <c r="W38" s="7"/>
      <c r="X38" s="7"/>
      <c r="Y38" s="7"/>
      <c r="Z38" s="7"/>
      <c r="AA38" s="7"/>
      <c r="AB38" s="7"/>
      <c r="AC38" s="7"/>
      <c r="AD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288">
        <v>0.1284722222222222</v>
      </c>
      <c r="W39" s="7"/>
      <c r="X39" s="7"/>
      <c r="Y39" s="7"/>
      <c r="Z39" s="7"/>
      <c r="AA39" s="7"/>
      <c r="AB39" s="7"/>
      <c r="AC39" s="7"/>
      <c r="AD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288">
        <v>0.13194444444444445</v>
      </c>
      <c r="W40" s="7"/>
      <c r="X40" s="7"/>
      <c r="Y40" s="7"/>
      <c r="Z40" s="7"/>
      <c r="AA40" s="7"/>
      <c r="AB40" s="7"/>
      <c r="AC40" s="7"/>
      <c r="AD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288">
        <v>0.13541666666666666</v>
      </c>
      <c r="W41" s="7"/>
      <c r="X41" s="7"/>
      <c r="Y41" s="7"/>
      <c r="Z41" s="7"/>
      <c r="AA41" s="7"/>
      <c r="AB41" s="7"/>
      <c r="AC41" s="7"/>
      <c r="AD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288">
        <v>0.1388888888888889</v>
      </c>
      <c r="W42" s="7"/>
      <c r="X42" s="7"/>
      <c r="Y42" s="7"/>
      <c r="Z42" s="7"/>
      <c r="AA42" s="7"/>
      <c r="AB42" s="7"/>
      <c r="AC42" s="7"/>
      <c r="AD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288">
        <v>0.1423611111111111</v>
      </c>
      <c r="W43" s="7"/>
      <c r="X43" s="7"/>
      <c r="Y43" s="7"/>
      <c r="Z43" s="7"/>
      <c r="AA43" s="7"/>
      <c r="AB43" s="7"/>
      <c r="AC43" s="7"/>
      <c r="AD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288">
        <v>0.14583333333333334</v>
      </c>
      <c r="W44" s="7"/>
      <c r="X44" s="7"/>
      <c r="Y44" s="7"/>
      <c r="Z44" s="7"/>
      <c r="AA44" s="7"/>
      <c r="AB44" s="7"/>
      <c r="AC44" s="7"/>
      <c r="AD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288">
        <v>0.14930555555555555</v>
      </c>
      <c r="W45" s="7"/>
      <c r="X45" s="7"/>
      <c r="Y45" s="7"/>
      <c r="Z45" s="7"/>
      <c r="AA45" s="7"/>
      <c r="AB45" s="7"/>
      <c r="AC45" s="7"/>
      <c r="AD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288">
        <v>0.1527777777777778</v>
      </c>
      <c r="W46" s="7"/>
      <c r="X46" s="7"/>
      <c r="Y46" s="7"/>
      <c r="Z46" s="7"/>
      <c r="AA46" s="7"/>
      <c r="AB46" s="7"/>
      <c r="AC46" s="7"/>
      <c r="AD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288">
        <v>0.15625</v>
      </c>
      <c r="W47" s="7"/>
      <c r="X47" s="7"/>
      <c r="Y47" s="7"/>
      <c r="Z47" s="7"/>
      <c r="AA47" s="7"/>
      <c r="AB47" s="7"/>
      <c r="AC47" s="7"/>
      <c r="AD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288">
        <v>0.1597222222222222</v>
      </c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288">
        <v>0.16319444444444445</v>
      </c>
      <c r="W49" s="7"/>
      <c r="X49" s="7"/>
      <c r="Y49" s="7"/>
      <c r="Z49" s="7"/>
      <c r="AA49" s="7"/>
      <c r="AB49" s="7"/>
      <c r="AC49" s="7"/>
      <c r="AD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288">
        <v>0.16666666666666666</v>
      </c>
      <c r="W50" s="7"/>
      <c r="X50" s="7"/>
      <c r="Y50" s="7"/>
      <c r="Z50" s="7"/>
      <c r="AA50" s="7"/>
      <c r="AB50" s="7"/>
      <c r="AC50" s="7"/>
      <c r="AD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288">
        <v>0.1701388888888889</v>
      </c>
      <c r="W51" s="7"/>
      <c r="X51" s="7"/>
      <c r="Y51" s="7"/>
      <c r="Z51" s="7"/>
      <c r="AA51" s="7"/>
      <c r="AB51" s="7"/>
      <c r="AC51" s="7"/>
      <c r="AD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288">
        <v>0.1736111111111111</v>
      </c>
      <c r="W52" s="7"/>
      <c r="X52" s="7"/>
      <c r="Y52" s="7"/>
      <c r="Z52" s="7"/>
      <c r="AA52" s="7"/>
      <c r="AB52" s="7"/>
      <c r="AC52" s="7"/>
      <c r="AD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288">
        <v>0.17708333333333334</v>
      </c>
      <c r="W53" s="7"/>
      <c r="X53" s="7"/>
      <c r="Y53" s="7"/>
      <c r="Z53" s="7"/>
      <c r="AA53" s="7"/>
      <c r="AB53" s="7"/>
      <c r="AC53" s="7"/>
      <c r="AD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288">
        <v>0.18055555555555555</v>
      </c>
      <c r="W54" s="7"/>
      <c r="X54" s="7"/>
      <c r="Y54" s="7"/>
      <c r="Z54" s="7"/>
      <c r="AA54" s="7"/>
      <c r="AB54" s="7"/>
      <c r="AC54" s="7"/>
      <c r="AD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288">
        <v>0.1840277777777778</v>
      </c>
      <c r="W55" s="7"/>
      <c r="X55" s="7"/>
      <c r="Y55" s="7"/>
      <c r="Z55" s="7"/>
      <c r="AA55" s="7"/>
      <c r="AB55" s="7"/>
      <c r="AC55" s="7"/>
      <c r="AD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288">
        <v>0.1875</v>
      </c>
      <c r="W56" s="7"/>
      <c r="X56" s="7"/>
      <c r="Y56" s="7"/>
      <c r="Z56" s="7"/>
      <c r="AA56" s="7"/>
      <c r="AB56" s="7"/>
      <c r="AC56" s="7"/>
      <c r="AD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288">
        <v>0.1909722222222222</v>
      </c>
      <c r="W57" s="7"/>
      <c r="X57" s="7"/>
      <c r="Y57" s="7"/>
      <c r="Z57" s="7"/>
      <c r="AA57" s="7"/>
      <c r="AB57" s="7"/>
      <c r="AC57" s="7"/>
      <c r="AD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288">
        <v>0.19444444444444445</v>
      </c>
      <c r="W58" s="7"/>
      <c r="X58" s="7"/>
      <c r="Y58" s="7"/>
      <c r="Z58" s="7"/>
      <c r="AA58" s="7"/>
      <c r="AB58" s="7"/>
      <c r="AC58" s="7"/>
      <c r="AD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288">
        <v>0.19791666666666666</v>
      </c>
      <c r="W59" s="7"/>
      <c r="X59" s="7"/>
      <c r="Y59" s="7"/>
      <c r="Z59" s="7"/>
      <c r="AA59" s="7"/>
      <c r="AB59" s="7"/>
      <c r="AC59" s="7"/>
      <c r="AD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288">
        <v>0.2013888888888889</v>
      </c>
      <c r="W60" s="7"/>
      <c r="X60" s="7"/>
      <c r="Y60" s="7"/>
      <c r="Z60" s="7"/>
      <c r="AA60" s="7"/>
      <c r="AB60" s="7"/>
      <c r="AC60" s="7"/>
      <c r="AD60" s="7"/>
    </row>
    <row r="61" ht="15.75" customHeight="1">
      <c r="V61" s="303">
        <v>0.2048611111111111</v>
      </c>
    </row>
    <row r="62" ht="15.75" customHeight="1">
      <c r="V62" s="303">
        <v>0.20833333333333334</v>
      </c>
    </row>
    <row r="63" ht="15.75" customHeight="1">
      <c r="V63" s="303">
        <v>0.21180555555555555</v>
      </c>
    </row>
    <row r="64" ht="15.75" customHeight="1">
      <c r="V64" s="303">
        <v>0.2152777777777778</v>
      </c>
    </row>
    <row r="65" ht="15.75" customHeight="1">
      <c r="V65" s="303">
        <v>0.21875</v>
      </c>
    </row>
    <row r="66" ht="15.75" customHeight="1">
      <c r="V66" s="303">
        <v>0.2222222222222222</v>
      </c>
    </row>
    <row r="67" ht="15.75" customHeight="1">
      <c r="V67" s="303">
        <v>0.22569444444444445</v>
      </c>
    </row>
    <row r="68" ht="15.75" customHeight="1">
      <c r="V68" s="303">
        <v>0.22916666666666666</v>
      </c>
    </row>
    <row r="69" ht="15.75" customHeight="1">
      <c r="V69" s="303">
        <v>0.2326388888888889</v>
      </c>
    </row>
    <row r="70" ht="15.75" customHeight="1">
      <c r="V70" s="303">
        <v>0.2361111111111111</v>
      </c>
    </row>
    <row r="71" ht="15.75" customHeight="1">
      <c r="V71" s="303">
        <v>0.23958333333333334</v>
      </c>
    </row>
    <row r="72" ht="15.75" customHeight="1">
      <c r="V72" s="303">
        <v>0.24305555555555555</v>
      </c>
    </row>
    <row r="73" ht="15.75" customHeight="1">
      <c r="V73" s="303">
        <v>0.2465277777777778</v>
      </c>
    </row>
    <row r="74" ht="15.75" customHeight="1">
      <c r="V74" s="303">
        <v>0.25</v>
      </c>
    </row>
    <row r="75" ht="15.75" customHeight="1">
      <c r="V75" s="303">
        <v>0.2534722222222222</v>
      </c>
    </row>
    <row r="76" ht="15.75" customHeight="1">
      <c r="V76" s="303">
        <v>0.2569444444444444</v>
      </c>
    </row>
    <row r="77" ht="15.75" customHeight="1">
      <c r="V77" s="303">
        <v>0.2604166666666667</v>
      </c>
    </row>
    <row r="78" ht="15.75" customHeight="1">
      <c r="V78" s="303">
        <v>0.2638888888888889</v>
      </c>
    </row>
    <row r="79" ht="15.75" customHeight="1">
      <c r="V79" s="303">
        <v>0.2673611111111111</v>
      </c>
    </row>
    <row r="80" ht="15.75" customHeight="1">
      <c r="V80" s="303">
        <v>0.2708333333333333</v>
      </c>
    </row>
    <row r="81" ht="15.75" customHeight="1">
      <c r="V81" s="303">
        <v>0.2743055555555556</v>
      </c>
    </row>
    <row r="82" ht="15.75" customHeight="1">
      <c r="V82" s="303">
        <v>0.2777777777777778</v>
      </c>
    </row>
    <row r="83" ht="15.75" customHeight="1">
      <c r="V83" s="303">
        <v>0.28125</v>
      </c>
    </row>
    <row r="84" ht="15.75" customHeight="1">
      <c r="V84" s="303">
        <v>0.2847222222222222</v>
      </c>
    </row>
    <row r="85" ht="15.75" customHeight="1">
      <c r="V85" s="303">
        <v>0.2881944444444444</v>
      </c>
    </row>
    <row r="86" ht="15.75" customHeight="1">
      <c r="V86" s="303">
        <v>0.2916666666666667</v>
      </c>
    </row>
    <row r="87" ht="15.75" customHeight="1">
      <c r="V87" s="303">
        <v>0.2951388888888889</v>
      </c>
    </row>
    <row r="88" ht="15.75" customHeight="1">
      <c r="V88" s="303">
        <v>0.2986111111111111</v>
      </c>
    </row>
    <row r="89" ht="15.75" customHeight="1">
      <c r="V89" s="303">
        <v>0.3020833333333333</v>
      </c>
    </row>
    <row r="90" ht="15.75" customHeight="1">
      <c r="V90" s="303">
        <v>0.3055555555555556</v>
      </c>
    </row>
    <row r="91" ht="15.75" customHeight="1">
      <c r="V91" s="303">
        <v>0.3090277777777778</v>
      </c>
    </row>
    <row r="92" ht="15.75" customHeight="1">
      <c r="V92" s="303">
        <v>0.3125</v>
      </c>
    </row>
    <row r="93" ht="15.75" customHeight="1">
      <c r="V93" s="303">
        <v>0.3159722222222222</v>
      </c>
    </row>
    <row r="94" ht="15.75" customHeight="1">
      <c r="V94" s="303">
        <v>0.3194444444444444</v>
      </c>
    </row>
    <row r="95" ht="15.75" customHeight="1">
      <c r="V95" s="303">
        <v>0.3229166666666667</v>
      </c>
    </row>
    <row r="96" ht="15.75" customHeight="1">
      <c r="V96" s="303">
        <v>0.3263888888888889</v>
      </c>
    </row>
    <row r="97" ht="15.75" customHeight="1">
      <c r="V97" s="303">
        <v>0.3298611111111111</v>
      </c>
    </row>
    <row r="98" ht="15.75" customHeight="1">
      <c r="V98" s="303">
        <v>0.3333333333333333</v>
      </c>
    </row>
    <row r="99" ht="15.75" customHeight="1">
      <c r="V99" s="303">
        <v>0.3368055555555556</v>
      </c>
    </row>
    <row r="100" ht="15.75" customHeight="1">
      <c r="V100" s="303">
        <v>0.3402777777777778</v>
      </c>
    </row>
    <row r="101" ht="15.75" customHeight="1">
      <c r="V101" s="303">
        <v>0.34375</v>
      </c>
    </row>
    <row r="102" ht="15.75" customHeight="1">
      <c r="V102" s="303">
        <v>0.3472222222222222</v>
      </c>
    </row>
    <row r="103" ht="15.75" customHeight="1">
      <c r="V103" s="303">
        <v>0.3506944444444444</v>
      </c>
    </row>
    <row r="104" ht="15.75" customHeight="1">
      <c r="V104" s="303">
        <v>0.3541666666666667</v>
      </c>
    </row>
    <row r="105" ht="15.75" customHeight="1">
      <c r="V105" s="303">
        <v>0.3576388888888889</v>
      </c>
    </row>
    <row r="106" ht="15.75" customHeight="1">
      <c r="V106" s="303">
        <v>0.3611111111111111</v>
      </c>
    </row>
    <row r="107" ht="15.75" customHeight="1">
      <c r="V107" s="303">
        <v>0.3645833333333333</v>
      </c>
    </row>
    <row r="108" ht="15.75" customHeight="1">
      <c r="V108" s="303">
        <v>0.3680555555555556</v>
      </c>
    </row>
    <row r="109" ht="15.75" customHeight="1">
      <c r="V109" s="303">
        <v>0.3715277777777778</v>
      </c>
    </row>
    <row r="110" ht="15.75" customHeight="1">
      <c r="V110" s="303">
        <v>0.375</v>
      </c>
    </row>
    <row r="111" ht="15.75" customHeight="1">
      <c r="V111" s="303">
        <v>0.3784722222222222</v>
      </c>
    </row>
    <row r="112" ht="15.75" customHeight="1">
      <c r="V112" s="303">
        <v>0.3819444444444444</v>
      </c>
    </row>
    <row r="113" ht="15.75" customHeight="1">
      <c r="V113" s="303">
        <v>0.3854166666666667</v>
      </c>
    </row>
    <row r="114" ht="15.75" customHeight="1">
      <c r="V114" s="303">
        <v>0.3888888888888889</v>
      </c>
    </row>
    <row r="115" ht="15.75" customHeight="1">
      <c r="V115" s="303">
        <v>0.3923611111111111</v>
      </c>
    </row>
    <row r="116" ht="15.75" customHeight="1">
      <c r="V116" s="303">
        <v>0.3958333333333333</v>
      </c>
    </row>
    <row r="117" ht="15.75" customHeight="1">
      <c r="V117" s="303">
        <v>0.3993055555555556</v>
      </c>
    </row>
    <row r="118" ht="15.75" customHeight="1">
      <c r="V118" s="303">
        <v>0.4027777777777778</v>
      </c>
    </row>
    <row r="119" ht="15.75" customHeight="1">
      <c r="V119" s="303">
        <v>0.40625</v>
      </c>
    </row>
    <row r="120" ht="15.75" customHeight="1">
      <c r="V120" s="303">
        <v>0.4097222222222222</v>
      </c>
    </row>
    <row r="121" ht="15.75" customHeight="1">
      <c r="V121" s="303">
        <v>0.4131944444444444</v>
      </c>
    </row>
    <row r="122" ht="15.75" customHeight="1">
      <c r="V122" s="303">
        <v>0.4166666666666667</v>
      </c>
    </row>
    <row r="123" ht="15.75" customHeight="1">
      <c r="V123" s="303">
        <v>0.4201388888888889</v>
      </c>
    </row>
    <row r="124" ht="15.75" customHeight="1">
      <c r="V124" s="303">
        <v>0.4236111111111111</v>
      </c>
    </row>
    <row r="125" ht="15.75" customHeight="1">
      <c r="V125" s="303">
        <v>0.4270833333333333</v>
      </c>
    </row>
    <row r="126" ht="15.75" customHeight="1">
      <c r="V126" s="303">
        <v>0.4305555555555556</v>
      </c>
    </row>
    <row r="127" ht="15.75" customHeight="1">
      <c r="V127" s="303">
        <v>0.4340277777777778</v>
      </c>
    </row>
    <row r="128" ht="15.75" customHeight="1">
      <c r="V128" s="303">
        <v>0.4375</v>
      </c>
    </row>
    <row r="129" ht="15.75" customHeight="1">
      <c r="V129" s="303">
        <v>0.4409722222222222</v>
      </c>
    </row>
    <row r="130" ht="15.75" customHeight="1">
      <c r="V130" s="303">
        <v>0.4444444444444444</v>
      </c>
    </row>
    <row r="131" ht="15.75" customHeight="1">
      <c r="V131" s="303">
        <v>0.4479166666666667</v>
      </c>
    </row>
    <row r="132" ht="15.75" customHeight="1">
      <c r="V132" s="303">
        <v>0.4513888888888889</v>
      </c>
    </row>
    <row r="133" ht="15.75" customHeight="1">
      <c r="V133" s="303">
        <v>0.4548611111111111</v>
      </c>
    </row>
    <row r="134" ht="15.75" customHeight="1">
      <c r="V134" s="303">
        <v>0.4583333333333333</v>
      </c>
    </row>
    <row r="135" ht="15.75" customHeight="1">
      <c r="V135" s="303">
        <v>0.4618055555555556</v>
      </c>
    </row>
    <row r="136" ht="15.75" customHeight="1">
      <c r="V136" s="303">
        <v>0.4652777777777778</v>
      </c>
    </row>
    <row r="137" ht="15.75" customHeight="1">
      <c r="V137" s="303">
        <v>0.46875</v>
      </c>
    </row>
    <row r="138" ht="15.75" customHeight="1">
      <c r="V138" s="303">
        <v>0.4722222222222222</v>
      </c>
    </row>
    <row r="139" ht="15.75" customHeight="1">
      <c r="V139" s="303">
        <v>0.4756944444444444</v>
      </c>
    </row>
    <row r="140" ht="15.75" customHeight="1">
      <c r="V140" s="303">
        <v>0.4791666666666667</v>
      </c>
    </row>
    <row r="141" ht="15.75" customHeight="1">
      <c r="V141" s="303">
        <v>0.4826388888888889</v>
      </c>
    </row>
    <row r="142" ht="15.75" customHeight="1">
      <c r="V142" s="303">
        <v>0.4861111111111111</v>
      </c>
    </row>
    <row r="143" ht="15.75" customHeight="1">
      <c r="V143" s="303">
        <v>0.4895833333333333</v>
      </c>
    </row>
    <row r="144" ht="15.75" customHeight="1">
      <c r="V144" s="303">
        <v>0.4930555555555556</v>
      </c>
    </row>
    <row r="145" ht="15.75" customHeight="1">
      <c r="V145" s="303">
        <v>0.4965277777777778</v>
      </c>
    </row>
    <row r="146" ht="15.75" customHeight="1">
      <c r="V146" s="303">
        <v>0.5</v>
      </c>
    </row>
    <row r="147" ht="15.75" customHeight="1">
      <c r="V147" s="303">
        <v>0.5034722222222222</v>
      </c>
    </row>
    <row r="148" ht="15.75" customHeight="1">
      <c r="V148" s="303">
        <v>0.5069444444444444</v>
      </c>
    </row>
    <row r="149" ht="15.75" customHeight="1">
      <c r="V149" s="303">
        <v>0.5104166666666666</v>
      </c>
    </row>
    <row r="150" ht="15.75" customHeight="1">
      <c r="V150" s="303">
        <v>0.5138888888888888</v>
      </c>
    </row>
    <row r="151" ht="15.75" customHeight="1">
      <c r="V151" s="303">
        <v>0.5173611111111112</v>
      </c>
    </row>
    <row r="152" ht="15.75" customHeight="1">
      <c r="V152" s="303">
        <v>0.5208333333333334</v>
      </c>
    </row>
    <row r="153" ht="15.75" customHeight="1">
      <c r="V153" s="303">
        <v>0.5243055555555556</v>
      </c>
    </row>
    <row r="154" ht="15.75" customHeight="1">
      <c r="V154" s="303">
        <v>0.5277777777777778</v>
      </c>
    </row>
    <row r="155" ht="15.75" customHeight="1">
      <c r="V155" s="303">
        <v>0.53125</v>
      </c>
    </row>
    <row r="156" ht="15.75" customHeight="1">
      <c r="V156" s="303">
        <v>0.5347222222222222</v>
      </c>
    </row>
    <row r="157" ht="15.75" customHeight="1">
      <c r="V157" s="303">
        <v>0.5381944444444444</v>
      </c>
    </row>
    <row r="158" ht="15.75" customHeight="1">
      <c r="V158" s="303">
        <v>0.5416666666666666</v>
      </c>
    </row>
    <row r="159" ht="15.75" customHeight="1">
      <c r="V159" s="303">
        <v>0.5451388888888888</v>
      </c>
    </row>
    <row r="160" ht="15.75" customHeight="1">
      <c r="V160" s="303">
        <v>0.5486111111111112</v>
      </c>
    </row>
    <row r="161" ht="15.75" customHeight="1">
      <c r="V161" s="303">
        <v>0.5520833333333334</v>
      </c>
    </row>
    <row r="162" ht="15.75" customHeight="1">
      <c r="V162" s="303">
        <v>0.5555555555555556</v>
      </c>
    </row>
    <row r="163" ht="15.75" customHeight="1">
      <c r="V163" s="303">
        <v>0.5590277777777778</v>
      </c>
    </row>
    <row r="164" ht="15.75" customHeight="1">
      <c r="V164" s="303">
        <v>0.5625</v>
      </c>
    </row>
    <row r="165" ht="15.75" customHeight="1">
      <c r="V165" s="303">
        <v>0.5659722222222222</v>
      </c>
    </row>
    <row r="166" ht="15.75" customHeight="1">
      <c r="V166" s="303">
        <v>0.5694444444444444</v>
      </c>
    </row>
    <row r="167" ht="15.75" customHeight="1">
      <c r="V167" s="303">
        <v>0.5729166666666666</v>
      </c>
    </row>
    <row r="168" ht="15.75" customHeight="1">
      <c r="V168" s="303">
        <v>0.5763888888888888</v>
      </c>
    </row>
    <row r="169" ht="15.75" customHeight="1">
      <c r="V169" s="303">
        <v>0.5798611111111112</v>
      </c>
    </row>
    <row r="170" ht="15.75" customHeight="1">
      <c r="V170" s="303">
        <v>0.5833333333333334</v>
      </c>
    </row>
    <row r="171" ht="15.75" customHeight="1">
      <c r="V171" s="303">
        <v>0.5868055555555556</v>
      </c>
    </row>
    <row r="172" ht="15.75" customHeight="1">
      <c r="V172" s="303">
        <v>0.5902777777777778</v>
      </c>
    </row>
    <row r="173" ht="15.75" customHeight="1">
      <c r="V173" s="303">
        <v>0.59375</v>
      </c>
    </row>
    <row r="174" ht="15.75" customHeight="1">
      <c r="V174" s="303">
        <v>0.5972222222222222</v>
      </c>
    </row>
    <row r="175" ht="15.75" customHeight="1">
      <c r="V175" s="303">
        <v>0.6006944444444444</v>
      </c>
    </row>
    <row r="176" ht="15.75" customHeight="1">
      <c r="V176" s="303">
        <v>0.6041666666666666</v>
      </c>
    </row>
    <row r="177" ht="15.75" customHeight="1">
      <c r="V177" s="303">
        <v>0.6076388888888888</v>
      </c>
    </row>
    <row r="178" ht="15.75" customHeight="1">
      <c r="V178" s="303">
        <v>0.6111111111111112</v>
      </c>
    </row>
    <row r="179" ht="15.75" customHeight="1">
      <c r="V179" s="303">
        <v>0.6145833333333334</v>
      </c>
    </row>
    <row r="180" ht="15.75" customHeight="1">
      <c r="V180" s="303">
        <v>0.6180555555555556</v>
      </c>
    </row>
    <row r="181" ht="15.75" customHeight="1">
      <c r="V181" s="303">
        <v>0.6215277777777778</v>
      </c>
    </row>
    <row r="182" ht="15.75" customHeight="1">
      <c r="V182" s="303">
        <v>0.625</v>
      </c>
    </row>
    <row r="183" ht="15.75" customHeight="1">
      <c r="V183" s="303">
        <v>0.6284722222222222</v>
      </c>
    </row>
    <row r="184" ht="15.75" customHeight="1">
      <c r="V184" s="303">
        <v>0.6319444444444444</v>
      </c>
    </row>
    <row r="185" ht="15.75" customHeight="1">
      <c r="V185" s="303">
        <v>0.6354166666666666</v>
      </c>
    </row>
    <row r="186" ht="15.75" customHeight="1">
      <c r="V186" s="303">
        <v>0.6388888888888888</v>
      </c>
    </row>
    <row r="187" ht="15.75" customHeight="1">
      <c r="V187" s="303">
        <v>0.6423611111111112</v>
      </c>
    </row>
    <row r="188" ht="15.75" customHeight="1">
      <c r="V188" s="303">
        <v>0.6458333333333334</v>
      </c>
    </row>
    <row r="189" ht="15.75" customHeight="1">
      <c r="V189" s="303">
        <v>0.6493055555555556</v>
      </c>
    </row>
    <row r="190" ht="15.75" customHeight="1">
      <c r="V190" s="303">
        <v>0.6527777777777778</v>
      </c>
    </row>
    <row r="191" ht="15.75" customHeight="1">
      <c r="V191" s="303">
        <v>0.65625</v>
      </c>
    </row>
    <row r="192" ht="15.75" customHeight="1">
      <c r="V192" s="303">
        <v>0.6597222222222222</v>
      </c>
    </row>
    <row r="193" ht="15.75" customHeight="1">
      <c r="V193" s="303">
        <v>0.6631944444444444</v>
      </c>
    </row>
    <row r="194" ht="15.75" customHeight="1">
      <c r="V194" s="303">
        <v>0.6666666666666666</v>
      </c>
    </row>
    <row r="195" ht="15.75" customHeight="1">
      <c r="V195" s="303">
        <v>0.6701388888888888</v>
      </c>
    </row>
    <row r="196" ht="15.75" customHeight="1">
      <c r="V196" s="303">
        <v>0.6736111111111112</v>
      </c>
    </row>
    <row r="197" ht="15.75" customHeight="1">
      <c r="V197" s="303">
        <v>0.6770833333333334</v>
      </c>
    </row>
    <row r="198" ht="15.75" customHeight="1">
      <c r="V198" s="303">
        <v>0.6805555555555556</v>
      </c>
    </row>
    <row r="199" ht="15.75" customHeight="1">
      <c r="V199" s="303">
        <v>0.6840277777777778</v>
      </c>
    </row>
    <row r="200" ht="15.75" customHeight="1">
      <c r="V200" s="303">
        <v>0.6875</v>
      </c>
    </row>
    <row r="201" ht="15.75" customHeight="1">
      <c r="V201" s="303">
        <v>0.6909722222222222</v>
      </c>
    </row>
    <row r="202" ht="15.75" customHeight="1">
      <c r="V202" s="303">
        <v>0.6944444444444444</v>
      </c>
    </row>
    <row r="203" ht="15.75" customHeight="1">
      <c r="V203" s="303">
        <v>0.6979166666666666</v>
      </c>
    </row>
    <row r="204" ht="15.75" customHeight="1">
      <c r="V204" s="303">
        <v>0.7013888888888888</v>
      </c>
    </row>
    <row r="205" ht="15.75" customHeight="1">
      <c r="V205" s="303">
        <v>0.7048611111111112</v>
      </c>
    </row>
    <row r="206" ht="15.75" customHeight="1">
      <c r="V206" s="303">
        <v>0.7083333333333334</v>
      </c>
    </row>
    <row r="207" ht="15.75" customHeight="1">
      <c r="V207" s="303">
        <v>0.7118055555555556</v>
      </c>
    </row>
    <row r="208" ht="15.75" customHeight="1">
      <c r="V208" s="303">
        <v>0.7152777777777778</v>
      </c>
    </row>
    <row r="209" ht="15.75" customHeight="1">
      <c r="V209" s="303">
        <v>0.71875</v>
      </c>
    </row>
    <row r="210" ht="15.75" customHeight="1">
      <c r="V210" s="303">
        <v>0.7222222222222222</v>
      </c>
    </row>
    <row r="211" ht="15.75" customHeight="1">
      <c r="V211" s="303">
        <v>0.7256944444444444</v>
      </c>
    </row>
    <row r="212" ht="15.75" customHeight="1">
      <c r="V212" s="303">
        <v>0.7291666666666666</v>
      </c>
    </row>
    <row r="213" ht="15.75" customHeight="1">
      <c r="V213" s="303">
        <v>0.7326388888888888</v>
      </c>
    </row>
    <row r="214" ht="15.75" customHeight="1">
      <c r="V214" s="303">
        <v>0.7361111111111112</v>
      </c>
    </row>
    <row r="215" ht="15.75" customHeight="1">
      <c r="V215" s="303">
        <v>0.7395833333333334</v>
      </c>
    </row>
    <row r="216" ht="15.75" customHeight="1">
      <c r="V216" s="303">
        <v>0.7430555555555556</v>
      </c>
    </row>
    <row r="217" ht="15.75" customHeight="1">
      <c r="V217" s="303">
        <v>0.7465277777777778</v>
      </c>
    </row>
    <row r="218" ht="15.75" customHeight="1">
      <c r="V218" s="303">
        <v>0.75</v>
      </c>
    </row>
    <row r="219" ht="15.75" customHeight="1">
      <c r="V219" s="303">
        <v>0.7534722222222222</v>
      </c>
    </row>
    <row r="220" ht="15.75" customHeight="1">
      <c r="V220" s="303">
        <v>0.7569444444444444</v>
      </c>
    </row>
    <row r="221" ht="15.75" customHeight="1">
      <c r="V221" s="303">
        <v>0.7604166666666666</v>
      </c>
    </row>
    <row r="222" ht="15.75" customHeight="1">
      <c r="V222" s="303">
        <v>0.7638888888888888</v>
      </c>
    </row>
    <row r="223" ht="15.75" customHeight="1">
      <c r="V223" s="303">
        <v>0.7673611111111112</v>
      </c>
    </row>
    <row r="224" ht="15.75" customHeight="1">
      <c r="V224" s="303">
        <v>0.7708333333333334</v>
      </c>
    </row>
    <row r="225" ht="15.75" customHeight="1">
      <c r="V225" s="303">
        <v>0.7743055555555556</v>
      </c>
    </row>
    <row r="226" ht="15.75" customHeight="1">
      <c r="V226" s="303">
        <v>0.7777777777777778</v>
      </c>
    </row>
    <row r="227" ht="15.75" customHeight="1">
      <c r="V227" s="303">
        <v>0.78125</v>
      </c>
    </row>
    <row r="228" ht="15.75" customHeight="1">
      <c r="V228" s="303">
        <v>0.7847222222222222</v>
      </c>
    </row>
    <row r="229" ht="15.75" customHeight="1">
      <c r="V229" s="303">
        <v>0.7881944444444444</v>
      </c>
    </row>
    <row r="230" ht="15.75" customHeight="1">
      <c r="V230" s="303">
        <v>0.7916666666666666</v>
      </c>
    </row>
    <row r="231" ht="15.75" customHeight="1">
      <c r="V231" s="303">
        <v>0.7951388888888888</v>
      </c>
    </row>
    <row r="232" ht="15.75" customHeight="1">
      <c r="V232" s="303">
        <v>0.7986111111111112</v>
      </c>
    </row>
    <row r="233" ht="15.75" customHeight="1">
      <c r="V233" s="303">
        <v>0.8020833333333334</v>
      </c>
    </row>
    <row r="234" ht="15.75" customHeight="1">
      <c r="V234" s="303">
        <v>0.8055555555555556</v>
      </c>
    </row>
    <row r="235" ht="15.75" customHeight="1">
      <c r="V235" s="303">
        <v>0.8090277777777778</v>
      </c>
    </row>
    <row r="236" ht="15.75" customHeight="1">
      <c r="V236" s="303">
        <v>0.8125</v>
      </c>
    </row>
    <row r="237" ht="15.75" customHeight="1">
      <c r="V237" s="303">
        <v>0.8159722222222222</v>
      </c>
    </row>
    <row r="238" ht="15.75" customHeight="1">
      <c r="V238" s="303">
        <v>0.8194444444444444</v>
      </c>
    </row>
    <row r="239" ht="15.75" customHeight="1">
      <c r="V239" s="303">
        <v>0.8229166666666666</v>
      </c>
    </row>
    <row r="240" ht="15.75" customHeight="1">
      <c r="V240" s="303">
        <v>0.8263888888888888</v>
      </c>
    </row>
    <row r="241" ht="15.75" customHeight="1">
      <c r="V241" s="303">
        <v>0.8298611111111112</v>
      </c>
    </row>
    <row r="242" ht="15.75" customHeight="1">
      <c r="V242" s="303">
        <v>0.8333333333333334</v>
      </c>
    </row>
    <row r="243" ht="15.75" customHeight="1">
      <c r="V243" s="303">
        <v>0.8368055555555556</v>
      </c>
    </row>
    <row r="244" ht="15.75" customHeight="1">
      <c r="V244" s="303">
        <v>0.8402777777777778</v>
      </c>
    </row>
    <row r="245" ht="15.75" customHeight="1">
      <c r="V245" s="303">
        <v>0.84375</v>
      </c>
    </row>
    <row r="246" ht="15.75" customHeight="1">
      <c r="V246" s="303">
        <v>0.8472222222222222</v>
      </c>
    </row>
    <row r="247" ht="15.75" customHeight="1">
      <c r="V247" s="303">
        <v>0.8506944444444444</v>
      </c>
    </row>
    <row r="248" ht="15.75" customHeight="1">
      <c r="V248" s="303">
        <v>0.8541666666666666</v>
      </c>
    </row>
    <row r="249" ht="15.75" customHeight="1">
      <c r="V249" s="303">
        <v>0.8576388888888888</v>
      </c>
    </row>
    <row r="250" ht="15.75" customHeight="1">
      <c r="V250" s="303">
        <v>0.8611111111111112</v>
      </c>
    </row>
    <row r="251" ht="15.75" customHeight="1">
      <c r="V251" s="303">
        <v>0.8645833333333334</v>
      </c>
    </row>
    <row r="252" ht="15.75" customHeight="1">
      <c r="V252" s="303">
        <v>0.8680555555555556</v>
      </c>
    </row>
    <row r="253" ht="15.75" customHeight="1">
      <c r="V253" s="303">
        <v>0.8715277777777778</v>
      </c>
    </row>
    <row r="254" ht="15.75" customHeight="1">
      <c r="V254" s="303">
        <v>0.875</v>
      </c>
    </row>
    <row r="255" ht="15.75" customHeight="1">
      <c r="V255" s="303">
        <v>0.8784722222222222</v>
      </c>
    </row>
    <row r="256" ht="15.75" customHeight="1">
      <c r="V256" s="303">
        <v>0.8819444444444444</v>
      </c>
    </row>
    <row r="257" ht="15.75" customHeight="1">
      <c r="V257" s="303">
        <v>0.8854166666666666</v>
      </c>
    </row>
    <row r="258" ht="15.75" customHeight="1">
      <c r="V258" s="303">
        <v>0.8888888888888888</v>
      </c>
    </row>
    <row r="259" ht="15.75" customHeight="1">
      <c r="V259" s="303">
        <v>0.8923611111111112</v>
      </c>
    </row>
    <row r="260" ht="15.75" customHeight="1">
      <c r="V260" s="303">
        <v>0.8958333333333334</v>
      </c>
    </row>
    <row r="261" ht="15.75" customHeight="1">
      <c r="V261" s="303">
        <v>0.8993055555555556</v>
      </c>
    </row>
    <row r="262" ht="15.75" customHeight="1">
      <c r="V262" s="303">
        <v>0.9027777777777778</v>
      </c>
    </row>
    <row r="263" ht="15.75" customHeight="1">
      <c r="V263" s="303">
        <v>0.90625</v>
      </c>
    </row>
    <row r="264" ht="15.75" customHeight="1">
      <c r="V264" s="303">
        <v>0.9097222222222222</v>
      </c>
    </row>
    <row r="265" ht="15.75" customHeight="1">
      <c r="V265" s="303">
        <v>0.9131944444444444</v>
      </c>
    </row>
    <row r="266" ht="15.75" customHeight="1">
      <c r="V266" s="303">
        <v>0.9166666666666666</v>
      </c>
    </row>
    <row r="267" ht="15.75" customHeight="1">
      <c r="V267" s="303">
        <v>0.9201388888888888</v>
      </c>
    </row>
    <row r="268" ht="15.75" customHeight="1">
      <c r="V268" s="303">
        <v>0.9236111111111112</v>
      </c>
    </row>
    <row r="269" ht="15.75" customHeight="1">
      <c r="V269" s="303">
        <v>0.9270833333333334</v>
      </c>
    </row>
    <row r="270" ht="15.75" customHeight="1">
      <c r="V270" s="303">
        <v>0.9305555555555556</v>
      </c>
    </row>
    <row r="271" ht="15.75" customHeight="1">
      <c r="V271" s="303">
        <v>0.9340277777777778</v>
      </c>
    </row>
    <row r="272" ht="15.75" customHeight="1">
      <c r="V272" s="303">
        <v>0.9375</v>
      </c>
    </row>
    <row r="273" ht="15.75" customHeight="1">
      <c r="V273" s="303">
        <v>0.9409722222222222</v>
      </c>
    </row>
    <row r="274" ht="15.75" customHeight="1">
      <c r="V274" s="303">
        <v>0.9444444444444444</v>
      </c>
    </row>
    <row r="275" ht="15.75" customHeight="1">
      <c r="V275" s="303">
        <v>0.9479166666666666</v>
      </c>
    </row>
    <row r="276" ht="15.75" customHeight="1">
      <c r="V276" s="303">
        <v>0.9513888888888888</v>
      </c>
    </row>
    <row r="277" ht="15.75" customHeight="1">
      <c r="V277" s="303">
        <v>0.9548611111111112</v>
      </c>
    </row>
    <row r="278" ht="15.75" customHeight="1">
      <c r="V278" s="303">
        <v>0.9583333333333334</v>
      </c>
    </row>
    <row r="279" ht="15.75" customHeight="1">
      <c r="V279" s="303">
        <v>0.9618055555555556</v>
      </c>
    </row>
    <row r="280" ht="15.75" customHeight="1">
      <c r="V280" s="303">
        <v>0.9652777777777778</v>
      </c>
    </row>
    <row r="281" ht="15.75" customHeight="1">
      <c r="V281" s="303">
        <v>0.96875</v>
      </c>
    </row>
    <row r="282" ht="15.75" customHeight="1">
      <c r="V282" s="303">
        <v>0.9722222222222222</v>
      </c>
    </row>
    <row r="283" ht="15.75" customHeight="1">
      <c r="V283" s="303">
        <v>0.9756944444444444</v>
      </c>
    </row>
    <row r="284" ht="15.75" customHeight="1">
      <c r="V284" s="303">
        <v>0.9791666666666666</v>
      </c>
    </row>
    <row r="285" ht="15.75" customHeight="1">
      <c r="V285" s="303">
        <v>0.9826388888888888</v>
      </c>
    </row>
    <row r="286" ht="15.75" customHeight="1">
      <c r="V286" s="303">
        <v>0.9861111111111112</v>
      </c>
    </row>
    <row r="287" ht="15.75" customHeight="1">
      <c r="V287" s="303">
        <v>0.9895833333333334</v>
      </c>
    </row>
    <row r="288" ht="15.75" customHeight="1">
      <c r="V288" s="303">
        <v>0.9930555555555556</v>
      </c>
    </row>
    <row r="289" ht="15.75" customHeight="1">
      <c r="V289" s="303">
        <v>0.9965277777777778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G1:K1"/>
  </mergeCells>
  <printOptions/>
  <pageMargins bottom="1.0" footer="0.0" header="0.0" left="0.75" right="0.75" top="1.0"/>
  <pageSetup paperSize="9" orientation="portrait"/>
  <drawing r:id="rId1"/>
</worksheet>
</file>